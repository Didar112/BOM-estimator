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iaquat\2022\"/>
    </mc:Choice>
  </mc:AlternateContent>
  <xr:revisionPtr revIDLastSave="0" documentId="13_ncr:1_{9476E093-162A-478C-86FC-D0500F1077BC}" xr6:coauthVersionLast="47" xr6:coauthVersionMax="47" xr10:uidLastSave="{00000000-0000-0000-0000-000000000000}"/>
  <bookViews>
    <workbookView xWindow="15" yWindow="60" windowWidth="20460" windowHeight="10890" tabRatio="832" activeTab="1" xr2:uid="{00000000-000D-0000-FFFF-FFFF00000000}"/>
  </bookViews>
  <sheets>
    <sheet name="CZ#3" sheetId="1" r:id="rId1"/>
    <sheet name="CZ#5" sheetId="2" r:id="rId2"/>
    <sheet name="PZ#3" sheetId="3" r:id="rId3"/>
    <sheet name="PZ#5" sheetId="4" r:id="rId4"/>
    <sheet name="MZ#3" sheetId="5" r:id="rId5"/>
    <sheet name="WIRE#3" sheetId="6" r:id="rId6"/>
    <sheet name="MZ#5" sheetId="7" r:id="rId7"/>
    <sheet name="WIRE#5 NORMAL TEETH" sheetId="8" r:id="rId8"/>
    <sheet name="WIRE#5 LONG TEETH" sheetId="9" r:id="rId9"/>
    <sheet name="PZ#8" sheetId="10" r:id="rId10"/>
  </sheets>
  <calcPr calcId="181029"/>
</workbook>
</file>

<file path=xl/calcChain.xml><?xml version="1.0" encoding="utf-8"?>
<calcChain xmlns="http://schemas.openxmlformats.org/spreadsheetml/2006/main">
  <c r="P26" i="3" l="1"/>
  <c r="P27" i="3"/>
  <c r="P28" i="3"/>
  <c r="P29" i="3"/>
  <c r="P30" i="3"/>
  <c r="P31" i="3"/>
  <c r="P32" i="3"/>
  <c r="P33" i="3"/>
  <c r="P34" i="3"/>
  <c r="P35" i="3"/>
  <c r="P36" i="3"/>
  <c r="P25" i="3"/>
  <c r="P6" i="3"/>
  <c r="P7" i="3"/>
  <c r="P8" i="3"/>
  <c r="P9" i="3"/>
  <c r="P10" i="3"/>
  <c r="P11" i="3"/>
  <c r="P12" i="3"/>
  <c r="P13" i="3"/>
  <c r="P14" i="3"/>
  <c r="P15" i="3"/>
  <c r="P16" i="3"/>
  <c r="P5" i="3"/>
  <c r="P25" i="4"/>
  <c r="P26" i="4"/>
  <c r="P27" i="4"/>
  <c r="P28" i="4"/>
  <c r="P29" i="4"/>
  <c r="P30" i="4"/>
  <c r="P31" i="4"/>
  <c r="P32" i="4"/>
  <c r="P33" i="4"/>
  <c r="P34" i="4"/>
  <c r="P35" i="4"/>
  <c r="P24" i="4"/>
  <c r="P6" i="4"/>
  <c r="P7" i="4"/>
  <c r="P8" i="4"/>
  <c r="P9" i="4"/>
  <c r="P10" i="4"/>
  <c r="P11" i="4"/>
  <c r="P12" i="4"/>
  <c r="P13" i="4"/>
  <c r="P14" i="4"/>
  <c r="P15" i="4"/>
  <c r="P16" i="4"/>
  <c r="P5" i="4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4" i="9"/>
  <c r="P24" i="7"/>
  <c r="P25" i="7"/>
  <c r="P26" i="7"/>
  <c r="P27" i="7"/>
  <c r="P28" i="7"/>
  <c r="P29" i="7"/>
  <c r="P30" i="7"/>
  <c r="P31" i="7"/>
  <c r="P32" i="7"/>
  <c r="P33" i="7"/>
  <c r="P34" i="7"/>
  <c r="P23" i="7"/>
  <c r="P5" i="7"/>
  <c r="P6" i="7"/>
  <c r="P7" i="7"/>
  <c r="P8" i="7"/>
  <c r="P9" i="7"/>
  <c r="P10" i="7"/>
  <c r="P11" i="7"/>
  <c r="P12" i="7"/>
  <c r="P13" i="7"/>
  <c r="P14" i="7"/>
  <c r="P15" i="7"/>
  <c r="P4" i="7"/>
  <c r="N35" i="10" l="1"/>
  <c r="P35" i="10" s="1"/>
  <c r="N34" i="10"/>
  <c r="P34" i="10" s="1"/>
  <c r="N33" i="10"/>
  <c r="P33" i="10" s="1"/>
  <c r="N32" i="10"/>
  <c r="P32" i="10" s="1"/>
  <c r="N31" i="10"/>
  <c r="P31" i="10" s="1"/>
  <c r="N30" i="10"/>
  <c r="P30" i="10" s="1"/>
  <c r="N29" i="10"/>
  <c r="P29" i="10" s="1"/>
  <c r="N28" i="10"/>
  <c r="P28" i="10" s="1"/>
  <c r="N27" i="10"/>
  <c r="P27" i="10" s="1"/>
  <c r="N26" i="10"/>
  <c r="P26" i="10" s="1"/>
  <c r="N25" i="10"/>
  <c r="P25" i="10" s="1"/>
  <c r="T7" i="10"/>
  <c r="T19" i="10"/>
  <c r="T18" i="10"/>
  <c r="T14" i="10"/>
  <c r="T13" i="10"/>
  <c r="T12" i="10"/>
  <c r="N16" i="10"/>
  <c r="P16" i="10" s="1"/>
  <c r="N15" i="10"/>
  <c r="P15" i="10" s="1"/>
  <c r="N14" i="10"/>
  <c r="P14" i="10" s="1"/>
  <c r="N13" i="10"/>
  <c r="P13" i="10" s="1"/>
  <c r="N12" i="10"/>
  <c r="P12" i="10" s="1"/>
  <c r="N11" i="10"/>
  <c r="P11" i="10" s="1"/>
  <c r="N10" i="10"/>
  <c r="P10" i="10" s="1"/>
  <c r="N9" i="10"/>
  <c r="P9" i="10" s="1"/>
  <c r="N8" i="10"/>
  <c r="P8" i="10" s="1"/>
  <c r="N7" i="10"/>
  <c r="P7" i="10" s="1"/>
  <c r="N6" i="10"/>
  <c r="P6" i="10" s="1"/>
  <c r="N24" i="10"/>
  <c r="P24" i="10" s="1"/>
  <c r="N5" i="10"/>
  <c r="P5" i="10" s="1"/>
  <c r="L36" i="10"/>
  <c r="K36" i="10"/>
  <c r="J36" i="10"/>
  <c r="I36" i="10"/>
  <c r="H36" i="10"/>
  <c r="G36" i="10"/>
  <c r="F36" i="10"/>
  <c r="E36" i="10"/>
  <c r="D36" i="10"/>
  <c r="C36" i="10"/>
  <c r="M35" i="10"/>
  <c r="M34" i="10"/>
  <c r="M33" i="10"/>
  <c r="M32" i="10"/>
  <c r="M31" i="10"/>
  <c r="M30" i="10"/>
  <c r="M29" i="10"/>
  <c r="T28" i="10"/>
  <c r="M28" i="10"/>
  <c r="M27" i="10"/>
  <c r="M26" i="10"/>
  <c r="M25" i="10"/>
  <c r="M24" i="10"/>
  <c r="L17" i="10"/>
  <c r="K17" i="10"/>
  <c r="J17" i="10"/>
  <c r="I17" i="10"/>
  <c r="H17" i="10"/>
  <c r="G17" i="10"/>
  <c r="F17" i="10"/>
  <c r="E17" i="10"/>
  <c r="D17" i="10"/>
  <c r="C17" i="10"/>
  <c r="M16" i="10"/>
  <c r="M15" i="10"/>
  <c r="M14" i="10"/>
  <c r="M13" i="10"/>
  <c r="M12" i="10"/>
  <c r="M11" i="10"/>
  <c r="M10" i="10"/>
  <c r="M9" i="10"/>
  <c r="M8" i="10"/>
  <c r="M7" i="10"/>
  <c r="M6" i="10"/>
  <c r="N17" i="10"/>
  <c r="S5" i="10" s="1"/>
  <c r="T5" i="10" s="1"/>
  <c r="M5" i="10"/>
  <c r="M17" i="10" s="1"/>
  <c r="N6" i="5"/>
  <c r="P6" i="5" s="1"/>
  <c r="N5" i="5"/>
  <c r="P5" i="5" s="1"/>
  <c r="N12" i="4"/>
  <c r="N11" i="7"/>
  <c r="N4" i="7"/>
  <c r="N13" i="2"/>
  <c r="P13" i="2" s="1"/>
  <c r="N5" i="4"/>
  <c r="M36" i="10" l="1"/>
  <c r="N36" i="10"/>
  <c r="S6" i="10" s="1"/>
  <c r="T6" i="10" s="1"/>
  <c r="P17" i="10"/>
  <c r="P36" i="10"/>
  <c r="T19" i="4"/>
  <c r="T13" i="4"/>
  <c r="T14" i="4"/>
  <c r="T14" i="3"/>
  <c r="T15" i="3"/>
  <c r="T28" i="4"/>
  <c r="W28" i="3"/>
  <c r="T18" i="4"/>
  <c r="T12" i="4"/>
  <c r="T7" i="4"/>
  <c r="T27" i="3"/>
  <c r="T19" i="3"/>
  <c r="T13" i="3"/>
  <c r="T8" i="3"/>
  <c r="S33" i="5" l="1"/>
  <c r="S32" i="5"/>
  <c r="K36" i="5"/>
  <c r="T32" i="5" s="1"/>
  <c r="S31" i="5"/>
  <c r="S30" i="5"/>
  <c r="S29" i="5"/>
  <c r="S28" i="5"/>
  <c r="S27" i="5"/>
  <c r="S26" i="5"/>
  <c r="S25" i="5"/>
  <c r="S24" i="5"/>
  <c r="U32" i="5" l="1"/>
  <c r="V32" i="5" s="1"/>
  <c r="S13" i="5"/>
  <c r="S12" i="5"/>
  <c r="S11" i="5"/>
  <c r="S10" i="5"/>
  <c r="S9" i="5"/>
  <c r="S8" i="5"/>
  <c r="S7" i="5"/>
  <c r="S6" i="5"/>
  <c r="S5" i="5"/>
  <c r="S4" i="5"/>
  <c r="M24" i="7"/>
  <c r="M25" i="7"/>
  <c r="M26" i="7"/>
  <c r="M27" i="7"/>
  <c r="M28" i="7"/>
  <c r="M29" i="7"/>
  <c r="M30" i="7"/>
  <c r="M31" i="7"/>
  <c r="M32" i="7"/>
  <c r="M33" i="7"/>
  <c r="M34" i="7"/>
  <c r="D35" i="7"/>
  <c r="E35" i="7"/>
  <c r="F35" i="7"/>
  <c r="G35" i="7"/>
  <c r="H35" i="7"/>
  <c r="I35" i="7"/>
  <c r="J35" i="7"/>
  <c r="K35" i="7"/>
  <c r="L35" i="7"/>
  <c r="C35" i="7"/>
  <c r="M23" i="7"/>
  <c r="M35" i="7" s="1"/>
  <c r="M5" i="7"/>
  <c r="M6" i="7"/>
  <c r="M7" i="7"/>
  <c r="M8" i="7"/>
  <c r="M9" i="7"/>
  <c r="M10" i="7"/>
  <c r="M11" i="7"/>
  <c r="M12" i="7"/>
  <c r="M13" i="7"/>
  <c r="M14" i="7"/>
  <c r="M15" i="7"/>
  <c r="D16" i="7"/>
  <c r="E16" i="7"/>
  <c r="F16" i="7"/>
  <c r="G16" i="7"/>
  <c r="H16" i="7"/>
  <c r="I16" i="7"/>
  <c r="J16" i="7"/>
  <c r="K16" i="7"/>
  <c r="L16" i="7"/>
  <c r="C16" i="7"/>
  <c r="M4" i="7"/>
  <c r="M16" i="7" s="1"/>
  <c r="M25" i="5"/>
  <c r="M26" i="5"/>
  <c r="M27" i="5"/>
  <c r="M28" i="5"/>
  <c r="M29" i="5"/>
  <c r="M30" i="5"/>
  <c r="M31" i="5"/>
  <c r="M32" i="5"/>
  <c r="M33" i="5"/>
  <c r="M34" i="5"/>
  <c r="M35" i="5"/>
  <c r="D36" i="5"/>
  <c r="T25" i="5" s="1"/>
  <c r="U25" i="5" s="1"/>
  <c r="V25" i="5" s="1"/>
  <c r="E36" i="5"/>
  <c r="T26" i="5" s="1"/>
  <c r="U26" i="5" s="1"/>
  <c r="V26" i="5" s="1"/>
  <c r="F36" i="5"/>
  <c r="T27" i="5" s="1"/>
  <c r="U27" i="5" s="1"/>
  <c r="V27" i="5" s="1"/>
  <c r="G36" i="5"/>
  <c r="T28" i="5" s="1"/>
  <c r="U28" i="5" s="1"/>
  <c r="V28" i="5" s="1"/>
  <c r="H36" i="5"/>
  <c r="T29" i="5" s="1"/>
  <c r="U29" i="5" s="1"/>
  <c r="V29" i="5" s="1"/>
  <c r="I36" i="5"/>
  <c r="T30" i="5" s="1"/>
  <c r="U30" i="5" s="1"/>
  <c r="V30" i="5" s="1"/>
  <c r="J36" i="5"/>
  <c r="T31" i="5" s="1"/>
  <c r="U31" i="5" s="1"/>
  <c r="V31" i="5" s="1"/>
  <c r="L36" i="5"/>
  <c r="T33" i="5" s="1"/>
  <c r="C36" i="5"/>
  <c r="T24" i="5" s="1"/>
  <c r="U24" i="5" s="1"/>
  <c r="M24" i="5"/>
  <c r="M36" i="5" s="1"/>
  <c r="M6" i="5"/>
  <c r="M7" i="5"/>
  <c r="M8" i="5"/>
  <c r="M9" i="5"/>
  <c r="M10" i="5"/>
  <c r="M11" i="5"/>
  <c r="M12" i="5"/>
  <c r="M13" i="5"/>
  <c r="M14" i="5"/>
  <c r="M15" i="5"/>
  <c r="M16" i="5"/>
  <c r="D17" i="5"/>
  <c r="T5" i="5" s="1"/>
  <c r="E17" i="5"/>
  <c r="T6" i="5" s="1"/>
  <c r="F17" i="5"/>
  <c r="T7" i="5" s="1"/>
  <c r="G17" i="5"/>
  <c r="T8" i="5" s="1"/>
  <c r="H17" i="5"/>
  <c r="T9" i="5" s="1"/>
  <c r="I17" i="5"/>
  <c r="T10" i="5" s="1"/>
  <c r="J17" i="5"/>
  <c r="T11" i="5" s="1"/>
  <c r="K17" i="5"/>
  <c r="T12" i="5" s="1"/>
  <c r="L17" i="5"/>
  <c r="T13" i="5" s="1"/>
  <c r="C17" i="5"/>
  <c r="T4" i="5" s="1"/>
  <c r="M5" i="5"/>
  <c r="M17" i="5" s="1"/>
  <c r="M25" i="4"/>
  <c r="M26" i="4"/>
  <c r="M27" i="4"/>
  <c r="M28" i="4"/>
  <c r="M29" i="4"/>
  <c r="M30" i="4"/>
  <c r="M31" i="4"/>
  <c r="M32" i="4"/>
  <c r="M33" i="4"/>
  <c r="M34" i="4"/>
  <c r="M35" i="4"/>
  <c r="D36" i="4"/>
  <c r="E36" i="4"/>
  <c r="F36" i="4"/>
  <c r="G36" i="4"/>
  <c r="H36" i="4"/>
  <c r="I36" i="4"/>
  <c r="J36" i="4"/>
  <c r="K36" i="4"/>
  <c r="L36" i="4"/>
  <c r="C36" i="4"/>
  <c r="M24" i="4"/>
  <c r="M36" i="4" s="1"/>
  <c r="M6" i="4"/>
  <c r="M7" i="4"/>
  <c r="M8" i="4"/>
  <c r="M9" i="4"/>
  <c r="M10" i="4"/>
  <c r="M11" i="4"/>
  <c r="M12" i="4"/>
  <c r="M13" i="4"/>
  <c r="M14" i="4"/>
  <c r="M15" i="4"/>
  <c r="M16" i="4"/>
  <c r="D17" i="4"/>
  <c r="E17" i="4"/>
  <c r="F17" i="4"/>
  <c r="G17" i="4"/>
  <c r="H17" i="4"/>
  <c r="I17" i="4"/>
  <c r="J17" i="4"/>
  <c r="K17" i="4"/>
  <c r="L17" i="4"/>
  <c r="C17" i="4"/>
  <c r="M5" i="4"/>
  <c r="M17" i="4" s="1"/>
  <c r="M26" i="3"/>
  <c r="M27" i="3"/>
  <c r="M28" i="3"/>
  <c r="M29" i="3"/>
  <c r="M30" i="3"/>
  <c r="M31" i="3"/>
  <c r="M32" i="3"/>
  <c r="M33" i="3"/>
  <c r="M34" i="3"/>
  <c r="M35" i="3"/>
  <c r="M36" i="3"/>
  <c r="D37" i="3"/>
  <c r="E37" i="3"/>
  <c r="F37" i="3"/>
  <c r="G37" i="3"/>
  <c r="H37" i="3"/>
  <c r="I37" i="3"/>
  <c r="J37" i="3"/>
  <c r="K37" i="3"/>
  <c r="L37" i="3"/>
  <c r="C37" i="3"/>
  <c r="M25" i="3"/>
  <c r="M37" i="3" s="1"/>
  <c r="M6" i="3"/>
  <c r="M7" i="3"/>
  <c r="M8" i="3"/>
  <c r="M9" i="3"/>
  <c r="M10" i="3"/>
  <c r="M11" i="3"/>
  <c r="M12" i="3"/>
  <c r="M13" i="3"/>
  <c r="M14" i="3"/>
  <c r="M15" i="3"/>
  <c r="M16" i="3"/>
  <c r="D17" i="3"/>
  <c r="E17" i="3"/>
  <c r="F17" i="3"/>
  <c r="G17" i="3"/>
  <c r="H17" i="3"/>
  <c r="I17" i="3"/>
  <c r="J17" i="3"/>
  <c r="K17" i="3"/>
  <c r="L17" i="3"/>
  <c r="C17" i="3"/>
  <c r="M5" i="3"/>
  <c r="M17" i="3" s="1"/>
  <c r="M27" i="2"/>
  <c r="M28" i="2"/>
  <c r="M29" i="2"/>
  <c r="M30" i="2"/>
  <c r="M31" i="2"/>
  <c r="M32" i="2"/>
  <c r="M33" i="2"/>
  <c r="M34" i="2"/>
  <c r="M35" i="2"/>
  <c r="M36" i="2"/>
  <c r="M37" i="2"/>
  <c r="D38" i="2"/>
  <c r="E38" i="2"/>
  <c r="F38" i="2"/>
  <c r="G38" i="2"/>
  <c r="H38" i="2"/>
  <c r="I38" i="2"/>
  <c r="J38" i="2"/>
  <c r="K38" i="2"/>
  <c r="L38" i="2"/>
  <c r="C38" i="2"/>
  <c r="M26" i="2"/>
  <c r="M38" i="2" s="1"/>
  <c r="M7" i="2"/>
  <c r="M8" i="2"/>
  <c r="M9" i="2"/>
  <c r="M10" i="2"/>
  <c r="M11" i="2"/>
  <c r="M12" i="2"/>
  <c r="M13" i="2"/>
  <c r="M14" i="2"/>
  <c r="M15" i="2"/>
  <c r="M16" i="2"/>
  <c r="M17" i="2"/>
  <c r="D18" i="2"/>
  <c r="E18" i="2"/>
  <c r="F18" i="2"/>
  <c r="G18" i="2"/>
  <c r="H18" i="2"/>
  <c r="I18" i="2"/>
  <c r="J18" i="2"/>
  <c r="K18" i="2"/>
  <c r="L18" i="2"/>
  <c r="C18" i="2"/>
  <c r="M6" i="2"/>
  <c r="M18" i="2" s="1"/>
  <c r="M26" i="1"/>
  <c r="M27" i="1"/>
  <c r="M28" i="1"/>
  <c r="M29" i="1"/>
  <c r="M30" i="1"/>
  <c r="M31" i="1"/>
  <c r="M32" i="1"/>
  <c r="M33" i="1"/>
  <c r="M34" i="1"/>
  <c r="M35" i="1"/>
  <c r="M36" i="1"/>
  <c r="D37" i="1"/>
  <c r="E37" i="1"/>
  <c r="F37" i="1"/>
  <c r="G37" i="1"/>
  <c r="H37" i="1"/>
  <c r="I37" i="1"/>
  <c r="J37" i="1"/>
  <c r="K37" i="1"/>
  <c r="L37" i="1"/>
  <c r="C37" i="1"/>
  <c r="M25" i="1"/>
  <c r="M37" i="1" s="1"/>
  <c r="U33" i="5" l="1"/>
  <c r="V33" i="5" s="1"/>
  <c r="Q27" i="2"/>
  <c r="R27" i="2" s="1"/>
  <c r="S25" i="2"/>
  <c r="T25" i="2" s="1"/>
  <c r="S24" i="2"/>
  <c r="T24" i="2" s="1"/>
  <c r="T26" i="2" s="1"/>
  <c r="S34" i="2"/>
  <c r="T34" i="2" s="1"/>
  <c r="S13" i="2"/>
  <c r="T13" i="2" s="1"/>
  <c r="S3" i="2"/>
  <c r="T3" i="2" s="1"/>
  <c r="S2" i="2"/>
  <c r="T2" i="2" s="1"/>
  <c r="T4" i="2" s="1"/>
  <c r="T22" i="1"/>
  <c r="U22" i="1" s="1"/>
  <c r="T27" i="1"/>
  <c r="U27" i="1" s="1"/>
  <c r="T26" i="1"/>
  <c r="U26" i="1" s="1"/>
  <c r="T11" i="7"/>
  <c r="U11" i="7" s="1"/>
  <c r="T5" i="7"/>
  <c r="U5" i="7" s="1"/>
  <c r="T10" i="7"/>
  <c r="U10" i="7" s="1"/>
  <c r="T4" i="7"/>
  <c r="U4" i="7" s="1"/>
  <c r="T14" i="5"/>
  <c r="U8" i="5"/>
  <c r="V8" i="5" s="1"/>
  <c r="U9" i="5"/>
  <c r="V9" i="5" s="1"/>
  <c r="U10" i="5"/>
  <c r="V10" i="5" s="1"/>
  <c r="U11" i="5"/>
  <c r="V11" i="5" s="1"/>
  <c r="U12" i="5"/>
  <c r="V12" i="5" s="1"/>
  <c r="U13" i="5"/>
  <c r="V13" i="5" s="1"/>
  <c r="Q2" i="2"/>
  <c r="R2" i="2" s="1"/>
  <c r="Q5" i="2"/>
  <c r="R5" i="2" s="1"/>
  <c r="S8" i="2"/>
  <c r="T8" i="2" s="1"/>
  <c r="Q24" i="2"/>
  <c r="R24" i="2" s="1"/>
  <c r="S29" i="2"/>
  <c r="T29" i="2" s="1"/>
  <c r="U7" i="5"/>
  <c r="V7" i="5" s="1"/>
  <c r="U6" i="5"/>
  <c r="V6" i="5" s="1"/>
  <c r="U5" i="5"/>
  <c r="V5" i="5" s="1"/>
  <c r="Q17" i="5"/>
  <c r="R17" i="5" s="1"/>
  <c r="T17" i="5"/>
  <c r="U17" i="5" s="1"/>
  <c r="Q36" i="5"/>
  <c r="R36" i="5" s="1"/>
  <c r="T38" i="5"/>
  <c r="U38" i="5" s="1"/>
  <c r="U4" i="5"/>
  <c r="T34" i="5"/>
  <c r="V24" i="5"/>
  <c r="Q25" i="1"/>
  <c r="R25" i="1" s="1"/>
  <c r="Q22" i="1"/>
  <c r="R22" i="1" s="1"/>
  <c r="V4" i="5"/>
  <c r="V14" i="5" s="1"/>
  <c r="D18" i="1"/>
  <c r="E18" i="1"/>
  <c r="F18" i="1"/>
  <c r="G18" i="1"/>
  <c r="H18" i="1"/>
  <c r="I18" i="1"/>
  <c r="J18" i="1"/>
  <c r="K18" i="1"/>
  <c r="L18" i="1"/>
  <c r="C18" i="1"/>
  <c r="M7" i="1"/>
  <c r="M8" i="1"/>
  <c r="M9" i="1"/>
  <c r="M10" i="1"/>
  <c r="M11" i="1"/>
  <c r="M12" i="1"/>
  <c r="M13" i="1"/>
  <c r="M14" i="1"/>
  <c r="M15" i="1"/>
  <c r="M16" i="1"/>
  <c r="M17" i="1"/>
  <c r="M6" i="1"/>
  <c r="M18" i="1" s="1"/>
  <c r="N15" i="7"/>
  <c r="N14" i="7"/>
  <c r="N13" i="7"/>
  <c r="N12" i="7"/>
  <c r="N10" i="7"/>
  <c r="N9" i="7"/>
  <c r="N8" i="7"/>
  <c r="N7" i="7"/>
  <c r="N6" i="7"/>
  <c r="N5" i="7"/>
  <c r="P16" i="7" s="1"/>
  <c r="N34" i="7"/>
  <c r="N33" i="7"/>
  <c r="N32" i="7"/>
  <c r="N31" i="7"/>
  <c r="N30" i="7"/>
  <c r="N29" i="7"/>
  <c r="N28" i="7"/>
  <c r="N27" i="7"/>
  <c r="N26" i="7"/>
  <c r="N25" i="7"/>
  <c r="N24" i="7"/>
  <c r="N23" i="7"/>
  <c r="P35" i="7" l="1"/>
  <c r="U28" i="1"/>
  <c r="V34" i="5"/>
  <c r="T7" i="1"/>
  <c r="U7" i="1" s="1"/>
  <c r="T6" i="1"/>
  <c r="U6" i="1" s="1"/>
  <c r="U8" i="1" s="1"/>
  <c r="T2" i="1"/>
  <c r="U2" i="1" s="1"/>
  <c r="Q5" i="1"/>
  <c r="R5" i="1" s="1"/>
  <c r="Q2" i="1"/>
  <c r="R2" i="1" s="1"/>
  <c r="N35" i="5"/>
  <c r="P35" i="5" s="1"/>
  <c r="N34" i="5"/>
  <c r="P34" i="5" s="1"/>
  <c r="N33" i="5"/>
  <c r="P33" i="5" s="1"/>
  <c r="N32" i="5"/>
  <c r="P32" i="5" s="1"/>
  <c r="N31" i="5"/>
  <c r="P31" i="5" s="1"/>
  <c r="N30" i="5"/>
  <c r="P30" i="5" s="1"/>
  <c r="N29" i="5"/>
  <c r="P29" i="5" s="1"/>
  <c r="N28" i="5"/>
  <c r="P28" i="5" s="1"/>
  <c r="N27" i="5"/>
  <c r="P27" i="5" s="1"/>
  <c r="N26" i="5"/>
  <c r="P26" i="5" s="1"/>
  <c r="N25" i="5"/>
  <c r="P25" i="5" s="1"/>
  <c r="N24" i="5"/>
  <c r="N16" i="5"/>
  <c r="P16" i="5" s="1"/>
  <c r="N15" i="5"/>
  <c r="P15" i="5" s="1"/>
  <c r="N14" i="5"/>
  <c r="P14" i="5" s="1"/>
  <c r="N13" i="5"/>
  <c r="P13" i="5" s="1"/>
  <c r="N12" i="5"/>
  <c r="P12" i="5" s="1"/>
  <c r="N11" i="5"/>
  <c r="P11" i="5" s="1"/>
  <c r="N10" i="5"/>
  <c r="P10" i="5" s="1"/>
  <c r="N9" i="5"/>
  <c r="P9" i="5" s="1"/>
  <c r="N8" i="5"/>
  <c r="P8" i="5" s="1"/>
  <c r="N7" i="5"/>
  <c r="P7" i="5" s="1"/>
  <c r="P24" i="5" l="1"/>
  <c r="P36" i="5" s="1"/>
  <c r="P17" i="5"/>
  <c r="N16" i="4"/>
  <c r="N15" i="4"/>
  <c r="N14" i="4"/>
  <c r="N13" i="4"/>
  <c r="N11" i="4"/>
  <c r="N10" i="4"/>
  <c r="N9" i="4"/>
  <c r="N8" i="4"/>
  <c r="N7" i="4"/>
  <c r="N6" i="4"/>
  <c r="N35" i="4"/>
  <c r="N34" i="4"/>
  <c r="N33" i="4"/>
  <c r="N32" i="4"/>
  <c r="N31" i="4"/>
  <c r="N30" i="4"/>
  <c r="N29" i="4"/>
  <c r="N28" i="4"/>
  <c r="N27" i="4"/>
  <c r="N26" i="4"/>
  <c r="N25" i="4"/>
  <c r="N24" i="4"/>
  <c r="N36" i="3"/>
  <c r="N35" i="3"/>
  <c r="N34" i="3"/>
  <c r="N33" i="3"/>
  <c r="N32" i="3"/>
  <c r="N31" i="3"/>
  <c r="N30" i="3"/>
  <c r="N29" i="3"/>
  <c r="N28" i="3"/>
  <c r="N27" i="3"/>
  <c r="N26" i="3"/>
  <c r="N25" i="3"/>
  <c r="N16" i="3"/>
  <c r="N15" i="3"/>
  <c r="N14" i="3"/>
  <c r="N13" i="3"/>
  <c r="N12" i="3"/>
  <c r="N11" i="3"/>
  <c r="N10" i="3"/>
  <c r="N9" i="3"/>
  <c r="N8" i="3"/>
  <c r="N7" i="3"/>
  <c r="N6" i="3"/>
  <c r="N5" i="3"/>
  <c r="P36" i="4" l="1"/>
  <c r="N36" i="4"/>
  <c r="S6" i="4" s="1"/>
  <c r="T6" i="4" s="1"/>
  <c r="N37" i="3"/>
  <c r="S7" i="3" s="1"/>
  <c r="T7" i="3" s="1"/>
  <c r="P37" i="3"/>
  <c r="P17" i="3"/>
  <c r="N17" i="3"/>
  <c r="S6" i="3" s="1"/>
  <c r="T6" i="3" s="1"/>
  <c r="P17" i="4"/>
  <c r="N17" i="4"/>
  <c r="S5" i="4" s="1"/>
  <c r="T5" i="4" s="1"/>
  <c r="N37" i="2"/>
  <c r="P37" i="2" s="1"/>
  <c r="N36" i="2"/>
  <c r="P36" i="2" s="1"/>
  <c r="N35" i="2"/>
  <c r="P35" i="2" s="1"/>
  <c r="N34" i="2"/>
  <c r="P34" i="2" s="1"/>
  <c r="N33" i="2"/>
  <c r="P33" i="2" s="1"/>
  <c r="N32" i="2"/>
  <c r="P32" i="2" s="1"/>
  <c r="N31" i="2"/>
  <c r="P31" i="2" s="1"/>
  <c r="N30" i="2"/>
  <c r="P30" i="2" s="1"/>
  <c r="N29" i="2"/>
  <c r="P29" i="2" s="1"/>
  <c r="N28" i="2"/>
  <c r="P28" i="2" s="1"/>
  <c r="N27" i="2"/>
  <c r="P27" i="2" s="1"/>
  <c r="N26" i="2"/>
  <c r="P26" i="2" s="1"/>
  <c r="N17" i="2"/>
  <c r="P17" i="2" s="1"/>
  <c r="N16" i="2"/>
  <c r="P16" i="2" s="1"/>
  <c r="N15" i="2"/>
  <c r="P15" i="2" s="1"/>
  <c r="N14" i="2"/>
  <c r="P14" i="2" s="1"/>
  <c r="N12" i="2"/>
  <c r="P12" i="2" s="1"/>
  <c r="N11" i="2"/>
  <c r="P11" i="2" s="1"/>
  <c r="N10" i="2"/>
  <c r="P10" i="2" s="1"/>
  <c r="N9" i="2"/>
  <c r="P9" i="2" s="1"/>
  <c r="N8" i="2"/>
  <c r="P8" i="2" s="1"/>
  <c r="N7" i="2"/>
  <c r="P7" i="2" s="1"/>
  <c r="N6" i="2"/>
  <c r="P6" i="2" s="1"/>
  <c r="N36" i="1"/>
  <c r="P36" i="1" s="1"/>
  <c r="N35" i="1"/>
  <c r="P35" i="1" s="1"/>
  <c r="N34" i="1"/>
  <c r="P34" i="1" s="1"/>
  <c r="N33" i="1"/>
  <c r="P33" i="1" s="1"/>
  <c r="N32" i="1"/>
  <c r="P32" i="1" s="1"/>
  <c r="N31" i="1"/>
  <c r="P31" i="1" s="1"/>
  <c r="N30" i="1"/>
  <c r="P30" i="1" s="1"/>
  <c r="N29" i="1"/>
  <c r="P29" i="1" s="1"/>
  <c r="N28" i="1"/>
  <c r="P28" i="1" s="1"/>
  <c r="N27" i="1"/>
  <c r="P27" i="1" s="1"/>
  <c r="N26" i="1"/>
  <c r="P26" i="1" s="1"/>
  <c r="N25" i="1"/>
  <c r="P25" i="1" l="1"/>
  <c r="P37" i="1" s="1"/>
  <c r="P38" i="2"/>
  <c r="P18" i="2"/>
  <c r="N17" i="1"/>
  <c r="P17" i="1" s="1"/>
  <c r="N16" i="1"/>
  <c r="P16" i="1" s="1"/>
  <c r="N15" i="1"/>
  <c r="P15" i="1" s="1"/>
  <c r="N14" i="1"/>
  <c r="P14" i="1" s="1"/>
  <c r="N13" i="1"/>
  <c r="P13" i="1" s="1"/>
  <c r="N12" i="1"/>
  <c r="P12" i="1" s="1"/>
  <c r="N11" i="1"/>
  <c r="P11" i="1" s="1"/>
  <c r="N10" i="1"/>
  <c r="P10" i="1" s="1"/>
  <c r="N9" i="1"/>
  <c r="P9" i="1" s="1"/>
  <c r="N8" i="1"/>
  <c r="P8" i="1" s="1"/>
  <c r="N7" i="1"/>
  <c r="P7" i="1" s="1"/>
  <c r="N6" i="1"/>
  <c r="P6" i="1" l="1"/>
  <c r="P18" i="1" s="1"/>
  <c r="I19" i="8"/>
  <c r="B19" i="8"/>
  <c r="J18" i="8"/>
  <c r="K18" i="8" s="1"/>
  <c r="C18" i="8"/>
  <c r="D18" i="8" s="1"/>
  <c r="J17" i="8"/>
  <c r="K17" i="8" s="1"/>
  <c r="C17" i="8"/>
  <c r="D17" i="8" s="1"/>
  <c r="J16" i="8"/>
  <c r="K16" i="8" s="1"/>
  <c r="C16" i="8"/>
  <c r="D16" i="8" s="1"/>
  <c r="J15" i="8"/>
  <c r="K15" i="8" s="1"/>
  <c r="C15" i="8"/>
  <c r="D15" i="8" s="1"/>
  <c r="J14" i="8"/>
  <c r="K14" i="8" s="1"/>
  <c r="C14" i="8"/>
  <c r="D14" i="8" s="1"/>
  <c r="J13" i="8"/>
  <c r="K13" i="8" s="1"/>
  <c r="C13" i="8"/>
  <c r="D13" i="8" s="1"/>
  <c r="J12" i="8"/>
  <c r="K12" i="8" s="1"/>
  <c r="C12" i="8"/>
  <c r="D12" i="8" s="1"/>
  <c r="J11" i="8"/>
  <c r="K11" i="8" s="1"/>
  <c r="C11" i="8"/>
  <c r="D11" i="8" s="1"/>
  <c r="J10" i="8"/>
  <c r="K10" i="8" s="1"/>
  <c r="C10" i="8"/>
  <c r="D10" i="8" s="1"/>
  <c r="J9" i="8"/>
  <c r="K9" i="8" s="1"/>
  <c r="C9" i="8"/>
  <c r="D9" i="8" s="1"/>
  <c r="J8" i="8"/>
  <c r="K8" i="8" s="1"/>
  <c r="C8" i="8"/>
  <c r="D8" i="8" s="1"/>
  <c r="J7" i="8"/>
  <c r="K7" i="8" s="1"/>
  <c r="C7" i="8"/>
  <c r="D7" i="8" s="1"/>
  <c r="J6" i="8"/>
  <c r="K6" i="8" s="1"/>
  <c r="C6" i="8"/>
  <c r="D6" i="8" s="1"/>
  <c r="J5" i="8"/>
  <c r="K5" i="8" s="1"/>
  <c r="C5" i="8"/>
  <c r="D5" i="8" s="1"/>
  <c r="J4" i="8"/>
  <c r="J19" i="8" s="1"/>
  <c r="C4" i="8"/>
  <c r="C19" i="8" s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4" i="9"/>
  <c r="I19" i="6"/>
  <c r="B19" i="6"/>
  <c r="J18" i="6"/>
  <c r="K18" i="6" s="1"/>
  <c r="C18" i="6"/>
  <c r="D18" i="6" s="1"/>
  <c r="J17" i="6"/>
  <c r="K17" i="6" s="1"/>
  <c r="C17" i="6"/>
  <c r="D17" i="6" s="1"/>
  <c r="J16" i="6"/>
  <c r="K16" i="6" s="1"/>
  <c r="C16" i="6"/>
  <c r="D16" i="6" s="1"/>
  <c r="J15" i="6"/>
  <c r="K15" i="6" s="1"/>
  <c r="C15" i="6"/>
  <c r="D15" i="6" s="1"/>
  <c r="J14" i="6"/>
  <c r="K14" i="6" s="1"/>
  <c r="C14" i="6"/>
  <c r="D14" i="6" s="1"/>
  <c r="J13" i="6"/>
  <c r="K13" i="6" s="1"/>
  <c r="C13" i="6"/>
  <c r="D13" i="6" s="1"/>
  <c r="J12" i="6"/>
  <c r="K12" i="6" s="1"/>
  <c r="C12" i="6"/>
  <c r="D12" i="6" s="1"/>
  <c r="J11" i="6"/>
  <c r="K11" i="6" s="1"/>
  <c r="C11" i="6"/>
  <c r="D11" i="6" s="1"/>
  <c r="J10" i="6"/>
  <c r="K10" i="6" s="1"/>
  <c r="C10" i="6"/>
  <c r="D10" i="6" s="1"/>
  <c r="J9" i="6"/>
  <c r="K9" i="6" s="1"/>
  <c r="C9" i="6"/>
  <c r="D9" i="6" s="1"/>
  <c r="J8" i="6"/>
  <c r="K8" i="6" s="1"/>
  <c r="C8" i="6"/>
  <c r="D8" i="6" s="1"/>
  <c r="J7" i="6"/>
  <c r="K7" i="6" s="1"/>
  <c r="C7" i="6"/>
  <c r="D7" i="6" s="1"/>
  <c r="J6" i="6"/>
  <c r="K6" i="6" s="1"/>
  <c r="C6" i="6"/>
  <c r="D6" i="6" s="1"/>
  <c r="J5" i="6"/>
  <c r="K5" i="6" s="1"/>
  <c r="C5" i="6"/>
  <c r="D5" i="6" s="1"/>
  <c r="J4" i="6"/>
  <c r="C4" i="6"/>
  <c r="C19" i="6" s="1"/>
  <c r="J19" i="6" l="1"/>
  <c r="K4" i="6"/>
  <c r="C20" i="9"/>
  <c r="H20" i="9"/>
  <c r="E5" i="8"/>
  <c r="F5" i="8" s="1"/>
  <c r="L5" i="8"/>
  <c r="M5" i="8" s="1"/>
  <c r="E6" i="8"/>
  <c r="F6" i="8" s="1"/>
  <c r="L6" i="8"/>
  <c r="M6" i="8" s="1"/>
  <c r="E7" i="8"/>
  <c r="F7" i="8" s="1"/>
  <c r="L7" i="8"/>
  <c r="M7" i="8" s="1"/>
  <c r="E8" i="8"/>
  <c r="F8" i="8" s="1"/>
  <c r="L8" i="8"/>
  <c r="M8" i="8" s="1"/>
  <c r="E9" i="8"/>
  <c r="F9" i="8" s="1"/>
  <c r="L9" i="8"/>
  <c r="M9" i="8" s="1"/>
  <c r="E10" i="8"/>
  <c r="F10" i="8" s="1"/>
  <c r="L10" i="8"/>
  <c r="M10" i="8" s="1"/>
  <c r="E11" i="8"/>
  <c r="F11" i="8" s="1"/>
  <c r="L11" i="8"/>
  <c r="M11" i="8" s="1"/>
  <c r="E12" i="8"/>
  <c r="F12" i="8" s="1"/>
  <c r="L12" i="8"/>
  <c r="M12" i="8" s="1"/>
  <c r="E13" i="8"/>
  <c r="F13" i="8" s="1"/>
  <c r="L13" i="8"/>
  <c r="M13" i="8" s="1"/>
  <c r="E14" i="8"/>
  <c r="F14" i="8" s="1"/>
  <c r="L14" i="8"/>
  <c r="M14" i="8" s="1"/>
  <c r="E15" i="8"/>
  <c r="F15" i="8" s="1"/>
  <c r="L15" i="8"/>
  <c r="M15" i="8" s="1"/>
  <c r="E16" i="8"/>
  <c r="F16" i="8" s="1"/>
  <c r="L16" i="8"/>
  <c r="M16" i="8" s="1"/>
  <c r="E17" i="8"/>
  <c r="F17" i="8" s="1"/>
  <c r="L17" i="8"/>
  <c r="M17" i="8" s="1"/>
  <c r="E18" i="8"/>
  <c r="F18" i="8" s="1"/>
  <c r="L18" i="8"/>
  <c r="M18" i="8" s="1"/>
  <c r="D4" i="8"/>
  <c r="K4" i="8"/>
  <c r="E5" i="6"/>
  <c r="F5" i="6" s="1"/>
  <c r="L5" i="6"/>
  <c r="M5" i="6" s="1"/>
  <c r="E6" i="6"/>
  <c r="F6" i="6" s="1"/>
  <c r="L6" i="6"/>
  <c r="M6" i="6" s="1"/>
  <c r="E7" i="6"/>
  <c r="F7" i="6" s="1"/>
  <c r="L7" i="6"/>
  <c r="M7" i="6" s="1"/>
  <c r="E8" i="6"/>
  <c r="F8" i="6" s="1"/>
  <c r="L8" i="6"/>
  <c r="M8" i="6" s="1"/>
  <c r="E9" i="6"/>
  <c r="F9" i="6" s="1"/>
  <c r="L9" i="6"/>
  <c r="M9" i="6" s="1"/>
  <c r="E10" i="6"/>
  <c r="F10" i="6" s="1"/>
  <c r="L10" i="6"/>
  <c r="M10" i="6" s="1"/>
  <c r="E11" i="6"/>
  <c r="F11" i="6" s="1"/>
  <c r="L11" i="6"/>
  <c r="M11" i="6" s="1"/>
  <c r="E12" i="6"/>
  <c r="F12" i="6" s="1"/>
  <c r="L12" i="6"/>
  <c r="M12" i="6" s="1"/>
  <c r="E13" i="6"/>
  <c r="F13" i="6" s="1"/>
  <c r="L13" i="6"/>
  <c r="M13" i="6" s="1"/>
  <c r="E14" i="6"/>
  <c r="F14" i="6" s="1"/>
  <c r="L14" i="6"/>
  <c r="M14" i="6" s="1"/>
  <c r="E15" i="6"/>
  <c r="F15" i="6" s="1"/>
  <c r="L15" i="6"/>
  <c r="M15" i="6" s="1"/>
  <c r="E16" i="6"/>
  <c r="F16" i="6" s="1"/>
  <c r="L16" i="6"/>
  <c r="M16" i="6" s="1"/>
  <c r="E17" i="6"/>
  <c r="F17" i="6" s="1"/>
  <c r="L17" i="6"/>
  <c r="M17" i="6" s="1"/>
  <c r="E18" i="6"/>
  <c r="F18" i="6" s="1"/>
  <c r="L18" i="6"/>
  <c r="M18" i="6" s="1"/>
  <c r="D4" i="6"/>
  <c r="L4" i="8" l="1"/>
  <c r="M4" i="8" s="1"/>
  <c r="M19" i="8" s="1"/>
  <c r="E4" i="8"/>
  <c r="F4" i="8" s="1"/>
  <c r="F19" i="8" s="1"/>
  <c r="L4" i="6"/>
  <c r="M4" i="6" s="1"/>
  <c r="M19" i="6" s="1"/>
  <c r="E4" i="6"/>
  <c r="F4" i="6" s="1"/>
  <c r="F19" i="6" s="1"/>
</calcChain>
</file>

<file path=xl/sharedStrings.xml><?xml version="1.0" encoding="utf-8"?>
<sst xmlns="http://schemas.openxmlformats.org/spreadsheetml/2006/main" count="272" uniqueCount="90">
  <si>
    <r>
      <t>SIZE</t>
    </r>
    <r>
      <rPr>
        <b/>
        <sz val="8"/>
        <color theme="1"/>
        <rFont val="Calibri"/>
        <family val="2"/>
      </rPr>
      <t>→</t>
    </r>
  </si>
  <si>
    <t xml:space="preserve">CHAIN </t>
  </si>
  <si>
    <t>TOTAL QTY</t>
  </si>
  <si>
    <t>CONSUMPTION(Mtr)</t>
  </si>
  <si>
    <r>
      <t xml:space="preserve">CZ#3 CM </t>
    </r>
    <r>
      <rPr>
        <b/>
        <sz val="16"/>
        <color theme="1"/>
        <rFont val="Calibri"/>
        <family val="2"/>
      </rPr>
      <t>↓↓</t>
    </r>
  </si>
  <si>
    <r>
      <t xml:space="preserve">CZ#3 INCH </t>
    </r>
    <r>
      <rPr>
        <b/>
        <sz val="16"/>
        <color theme="1"/>
        <rFont val="Calibri"/>
        <family val="2"/>
      </rPr>
      <t>↓↓</t>
    </r>
  </si>
  <si>
    <r>
      <rPr>
        <b/>
        <sz val="16"/>
        <color theme="1"/>
        <rFont val="Calibri"/>
        <family val="2"/>
      </rPr>
      <t>←←M</t>
    </r>
    <r>
      <rPr>
        <b/>
        <sz val="16"/>
        <color theme="1"/>
        <rFont val="Calibri"/>
        <family val="2"/>
        <scheme val="minor"/>
      </rPr>
      <t>Z#5 CM</t>
    </r>
  </si>
  <si>
    <r>
      <rPr>
        <b/>
        <sz val="16"/>
        <color theme="1"/>
        <rFont val="Calibri"/>
        <family val="2"/>
      </rPr>
      <t>←←M</t>
    </r>
    <r>
      <rPr>
        <b/>
        <sz val="16"/>
        <color theme="1"/>
        <rFont val="Calibri"/>
        <family val="2"/>
        <scheme val="minor"/>
      </rPr>
      <t>Z#5 INCH</t>
    </r>
  </si>
  <si>
    <r>
      <t xml:space="preserve">MZ#3 CM </t>
    </r>
    <r>
      <rPr>
        <b/>
        <sz val="16"/>
        <color theme="1"/>
        <rFont val="Calibri"/>
        <family val="2"/>
      </rPr>
      <t>↓↓</t>
    </r>
  </si>
  <si>
    <r>
      <t xml:space="preserve">MZ#3 INCH </t>
    </r>
    <r>
      <rPr>
        <b/>
        <sz val="16"/>
        <color theme="1"/>
        <rFont val="Calibri"/>
        <family val="2"/>
      </rPr>
      <t>↓↓</t>
    </r>
  </si>
  <si>
    <r>
      <t xml:space="preserve">PZ#5 CM </t>
    </r>
    <r>
      <rPr>
        <b/>
        <sz val="16"/>
        <color theme="1"/>
        <rFont val="Calibri"/>
        <family val="2"/>
      </rPr>
      <t>↓↓</t>
    </r>
  </si>
  <si>
    <r>
      <t>PZ#5 INCH</t>
    </r>
    <r>
      <rPr>
        <b/>
        <sz val="16"/>
        <color theme="1"/>
        <rFont val="Calibri"/>
        <family val="2"/>
      </rPr>
      <t>↓↓</t>
    </r>
  </si>
  <si>
    <r>
      <t xml:space="preserve">PZ#3 CM </t>
    </r>
    <r>
      <rPr>
        <b/>
        <sz val="16"/>
        <color theme="1"/>
        <rFont val="Calibri"/>
        <family val="2"/>
      </rPr>
      <t>↓↓</t>
    </r>
  </si>
  <si>
    <r>
      <t xml:space="preserve">PZ#3 INCH </t>
    </r>
    <r>
      <rPr>
        <b/>
        <sz val="16"/>
        <color theme="1"/>
        <rFont val="Calibri"/>
        <family val="2"/>
      </rPr>
      <t>↓↓</t>
    </r>
  </si>
  <si>
    <r>
      <t xml:space="preserve">CZ#5 CM </t>
    </r>
    <r>
      <rPr>
        <b/>
        <sz val="16"/>
        <color theme="1"/>
        <rFont val="Calibri"/>
        <family val="2"/>
      </rPr>
      <t>↓↓</t>
    </r>
  </si>
  <si>
    <r>
      <t xml:space="preserve">CZ#5 INCH </t>
    </r>
    <r>
      <rPr>
        <b/>
        <sz val="16"/>
        <color theme="1"/>
        <rFont val="Calibri"/>
        <family val="2"/>
      </rPr>
      <t>↓↓</t>
    </r>
  </si>
  <si>
    <t>INCH</t>
  </si>
  <si>
    <t>CM</t>
  </si>
  <si>
    <t>SIZE</t>
  </si>
  <si>
    <t>QTY</t>
  </si>
  <si>
    <t>REQ. MTR.</t>
  </si>
  <si>
    <t>CALCULATION</t>
  </si>
  <si>
    <t>WIRE#3</t>
  </si>
  <si>
    <t>Teeth for Long Chain#5</t>
  </si>
  <si>
    <t>Inch</t>
  </si>
  <si>
    <t>Pcs</t>
  </si>
  <si>
    <t>Kg</t>
  </si>
  <si>
    <t>Cm</t>
  </si>
  <si>
    <t>Total</t>
  </si>
  <si>
    <t>WIRE#5</t>
  </si>
  <si>
    <t>CZ#3</t>
  </si>
  <si>
    <t>CZ#5</t>
  </si>
  <si>
    <t>PZ#3</t>
  </si>
  <si>
    <t>PZ#5</t>
  </si>
  <si>
    <t>MZ#3</t>
  </si>
  <si>
    <t>MZ#5</t>
  </si>
  <si>
    <t>CZ#3 CM</t>
  </si>
  <si>
    <t>CZ#3INCH</t>
  </si>
  <si>
    <t>MZ#5 CM</t>
  </si>
  <si>
    <t>MZ#5INCH</t>
  </si>
  <si>
    <t>MZ#3 CM</t>
  </si>
  <si>
    <t>MZ#3INCH</t>
  </si>
  <si>
    <t>PZ#5CM</t>
  </si>
  <si>
    <t>PZ#5INCH</t>
  </si>
  <si>
    <t>PZ#3CM</t>
  </si>
  <si>
    <t>PZ#3INCH</t>
  </si>
  <si>
    <t>CZ#5CM</t>
  </si>
  <si>
    <t>CZ#5INCH</t>
  </si>
  <si>
    <t>CZ #3 T/S</t>
  </si>
  <si>
    <t>CZ#3  B/S</t>
  </si>
  <si>
    <t>RESIN FOR CZ#3</t>
  </si>
  <si>
    <t>T/S#3</t>
  </si>
  <si>
    <t>H-BOTTOM</t>
  </si>
  <si>
    <t>TOTL TAPE KG</t>
  </si>
  <si>
    <t>LOSS %</t>
  </si>
  <si>
    <t xml:space="preserve">LOSS % </t>
  </si>
  <si>
    <t>TOTAL</t>
  </si>
  <si>
    <t>T/S#5</t>
  </si>
  <si>
    <t>CZ#5 RESIN</t>
  </si>
  <si>
    <t>B/S#5</t>
  </si>
  <si>
    <t>Tape Wise</t>
  </si>
  <si>
    <t>PZO#3 &amp; PZC#3</t>
  </si>
  <si>
    <t>Total Tape (mtr.)</t>
  </si>
  <si>
    <t>Qty Wise</t>
  </si>
  <si>
    <t>PZO#3</t>
  </si>
  <si>
    <t>Total Qty</t>
  </si>
  <si>
    <t>PZC#3</t>
  </si>
  <si>
    <t>Resin for Clr. Wise</t>
  </si>
  <si>
    <t>Resin for PZ Chain</t>
  </si>
  <si>
    <t>No of Clr.</t>
  </si>
  <si>
    <t>PZO#5 &amp; PZC#5</t>
  </si>
  <si>
    <t>PZO#5</t>
  </si>
  <si>
    <t>PZC#5</t>
  </si>
  <si>
    <t>Total Resin</t>
  </si>
  <si>
    <t>Total Tape</t>
  </si>
  <si>
    <t>Clr. Factor</t>
  </si>
  <si>
    <t>Range</t>
  </si>
  <si>
    <t xml:space="preserve">Wire for T/S# 4 &amp; 5 </t>
  </si>
  <si>
    <t>Qty</t>
  </si>
  <si>
    <t>Wire for B/S# 4&amp;5</t>
  </si>
  <si>
    <t>ULTRASONIC U-TOP</t>
  </si>
  <si>
    <t>TOLLILON FLAT WIRE</t>
  </si>
  <si>
    <r>
      <t xml:space="preserve">PZ#8 CM </t>
    </r>
    <r>
      <rPr>
        <b/>
        <sz val="16"/>
        <color theme="1"/>
        <rFont val="Calibri"/>
        <family val="2"/>
      </rPr>
      <t>↓↓</t>
    </r>
  </si>
  <si>
    <r>
      <t>PZ#8 INCH</t>
    </r>
    <r>
      <rPr>
        <b/>
        <sz val="16"/>
        <color theme="1"/>
        <rFont val="Calibri"/>
        <family val="2"/>
      </rPr>
      <t>↓↓</t>
    </r>
  </si>
  <si>
    <t>PZ#8 INCH</t>
  </si>
  <si>
    <t>PZ#8 CM</t>
  </si>
  <si>
    <t>PZ#8</t>
  </si>
  <si>
    <t>PZO#8 &amp; PZC#8</t>
  </si>
  <si>
    <t>PZO#8</t>
  </si>
  <si>
    <t>PZC#8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</si>
</sst>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_(* #,##0.000_);_(* \(#,##0.000\);_(* &quot;-&quot;???_);_(@_)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22"/>
      <color rgb="FFFF0000"/>
      <name val="Arial"/>
      <family val="2"/>
    </font>
    <font>
      <b/>
      <sz val="18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0"/>
      <color rgb="FFFF0000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74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1" fillId="2" borderId="2" xfId="0" applyFont="1" applyFill="1" applyBorder="1" applyAlignment="1">
      <alignment vertical="center"/>
    </xf>
    <xf numFmtId="41" fontId="2" fillId="2" borderId="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41" fontId="5" fillId="2" borderId="2" xfId="0" applyNumberFormat="1" applyFont="1" applyFill="1" applyBorder="1" applyAlignment="1">
      <alignment horizontal="center" vertical="center" wrapText="1"/>
    </xf>
    <xf numFmtId="41" fontId="1" fillId="2" borderId="2" xfId="0" applyNumberFormat="1" applyFont="1" applyFill="1" applyBorder="1" applyAlignment="1">
      <alignment horizontal="left" vertical="top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12" fillId="0" borderId="2" xfId="1" applyNumberFormat="1" applyFont="1" applyBorder="1" applyAlignment="1">
      <alignment horizontal="center" vertical="center"/>
    </xf>
    <xf numFmtId="43" fontId="12" fillId="0" borderId="2" xfId="1" applyFont="1" applyBorder="1" applyAlignment="1">
      <alignment horizontal="center" vertical="center"/>
    </xf>
    <xf numFmtId="43" fontId="12" fillId="0" borderId="2" xfId="0" applyNumberFormat="1" applyFont="1" applyBorder="1"/>
    <xf numFmtId="43" fontId="0" fillId="0" borderId="0" xfId="0" applyNumberFormat="1"/>
    <xf numFmtId="0" fontId="12" fillId="0" borderId="2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43" fontId="12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15" fillId="0" borderId="0" xfId="0" applyFont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3" fontId="3" fillId="0" borderId="19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43" fontId="5" fillId="8" borderId="22" xfId="0" applyNumberFormat="1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164" fontId="5" fillId="8" borderId="21" xfId="0" applyNumberFormat="1" applyFont="1" applyFill="1" applyBorder="1" applyAlignment="1">
      <alignment horizontal="center" vertical="center"/>
    </xf>
    <xf numFmtId="43" fontId="5" fillId="8" borderId="21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43" fontId="3" fillId="8" borderId="19" xfId="1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43" fontId="0" fillId="0" borderId="2" xfId="0" applyNumberFormat="1" applyBorder="1"/>
    <xf numFmtId="41" fontId="0" fillId="0" borderId="2" xfId="0" applyNumberFormat="1" applyBorder="1"/>
    <xf numFmtId="2" fontId="0" fillId="0" borderId="2" xfId="0" applyNumberFormat="1" applyBorder="1"/>
    <xf numFmtId="41" fontId="0" fillId="10" borderId="2" xfId="0" applyNumberFormat="1" applyFill="1" applyBorder="1"/>
    <xf numFmtId="41" fontId="20" fillId="10" borderId="2" xfId="0" applyNumberFormat="1" applyFont="1" applyFill="1" applyBorder="1"/>
    <xf numFmtId="43" fontId="20" fillId="10" borderId="2" xfId="0" applyNumberFormat="1" applyFont="1" applyFill="1" applyBorder="1"/>
    <xf numFmtId="43" fontId="0" fillId="10" borderId="2" xfId="0" applyNumberFormat="1" applyFill="1" applyBorder="1"/>
    <xf numFmtId="0" fontId="0" fillId="10" borderId="2" xfId="0" applyFill="1" applyBorder="1"/>
    <xf numFmtId="41" fontId="0" fillId="10" borderId="2" xfId="0" applyNumberForma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1" fontId="1" fillId="0" borderId="0" xfId="0" applyNumberFormat="1" applyFont="1" applyAlignment="1">
      <alignment horizontal="left" vertical="top"/>
    </xf>
    <xf numFmtId="41" fontId="20" fillId="10" borderId="6" xfId="0" applyNumberFormat="1" applyFont="1" applyFill="1" applyBorder="1"/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5" fillId="4" borderId="2" xfId="0" applyFont="1" applyFill="1" applyBorder="1"/>
    <xf numFmtId="0" fontId="3" fillId="4" borderId="2" xfId="0" applyFont="1" applyFill="1" applyBorder="1"/>
    <xf numFmtId="43" fontId="26" fillId="11" borderId="2" xfId="0" applyNumberFormat="1" applyFont="1" applyFill="1" applyBorder="1"/>
    <xf numFmtId="0" fontId="25" fillId="11" borderId="2" xfId="0" applyFont="1" applyFill="1" applyBorder="1"/>
    <xf numFmtId="43" fontId="24" fillId="11" borderId="2" xfId="0" applyNumberFormat="1" applyFont="1" applyFill="1" applyBorder="1"/>
    <xf numFmtId="41" fontId="0" fillId="10" borderId="6" xfId="0" applyNumberFormat="1" applyFill="1" applyBorder="1"/>
    <xf numFmtId="0" fontId="0" fillId="10" borderId="6" xfId="0" applyFill="1" applyBorder="1"/>
    <xf numFmtId="41" fontId="5" fillId="2" borderId="2" xfId="0" applyNumberFormat="1" applyFont="1" applyFill="1" applyBorder="1" applyAlignment="1">
      <alignment horizontal="left" vertical="top"/>
    </xf>
    <xf numFmtId="41" fontId="26" fillId="10" borderId="2" xfId="0" applyNumberFormat="1" applyFont="1" applyFill="1" applyBorder="1"/>
    <xf numFmtId="43" fontId="26" fillId="10" borderId="2" xfId="0" applyNumberFormat="1" applyFont="1" applyFill="1" applyBorder="1"/>
    <xf numFmtId="0" fontId="25" fillId="4" borderId="4" xfId="0" applyFont="1" applyFill="1" applyBorder="1"/>
    <xf numFmtId="0" fontId="16" fillId="7" borderId="23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27" fillId="7" borderId="8" xfId="0" applyFont="1" applyFill="1" applyBorder="1" applyAlignment="1">
      <alignment vertical="center"/>
    </xf>
    <xf numFmtId="0" fontId="27" fillId="7" borderId="9" xfId="0" applyFont="1" applyFill="1" applyBorder="1" applyAlignment="1">
      <alignment vertical="center"/>
    </xf>
    <xf numFmtId="0" fontId="3" fillId="12" borderId="18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164" fontId="3" fillId="0" borderId="18" xfId="1" applyNumberFormat="1" applyFont="1" applyBorder="1" applyAlignment="1">
      <alignment horizontal="center" vertical="center"/>
    </xf>
    <xf numFmtId="164" fontId="3" fillId="0" borderId="20" xfId="1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7" fillId="7" borderId="10" xfId="0" applyFont="1" applyFill="1" applyBorder="1" applyAlignment="1">
      <alignment vertical="center"/>
    </xf>
    <xf numFmtId="164" fontId="3" fillId="0" borderId="21" xfId="1" applyNumberFormat="1" applyFont="1" applyBorder="1" applyAlignment="1">
      <alignment horizontal="center" vertical="center"/>
    </xf>
    <xf numFmtId="43" fontId="3" fillId="0" borderId="22" xfId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43" fontId="3" fillId="0" borderId="19" xfId="0" applyNumberFormat="1" applyFont="1" applyBorder="1" applyAlignment="1">
      <alignment horizontal="center" vertical="center"/>
    </xf>
    <xf numFmtId="0" fontId="0" fillId="13" borderId="0" xfId="0" applyFill="1"/>
    <xf numFmtId="41" fontId="0" fillId="13" borderId="0" xfId="0" applyNumberFormat="1" applyFill="1"/>
    <xf numFmtId="166" fontId="0" fillId="13" borderId="0" xfId="0" applyNumberFormat="1" applyFill="1"/>
    <xf numFmtId="0" fontId="0" fillId="4" borderId="0" xfId="0" applyFill="1"/>
    <xf numFmtId="41" fontId="0" fillId="7" borderId="0" xfId="0" applyNumberFormat="1" applyFill="1"/>
    <xf numFmtId="0" fontId="0" fillId="7" borderId="0" xfId="0" applyFill="1"/>
    <xf numFmtId="0" fontId="18" fillId="4" borderId="26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41" fontId="19" fillId="4" borderId="26" xfId="0" applyNumberFormat="1" applyFont="1" applyFill="1" applyBorder="1" applyAlignment="1">
      <alignment horizontal="center" vertical="center"/>
    </xf>
    <xf numFmtId="41" fontId="19" fillId="4" borderId="27" xfId="0" applyNumberFormat="1" applyFont="1" applyFill="1" applyBorder="1" applyAlignment="1">
      <alignment horizontal="center" vertical="center"/>
    </xf>
    <xf numFmtId="41" fontId="19" fillId="4" borderId="30" xfId="0" applyNumberFormat="1" applyFont="1" applyFill="1" applyBorder="1" applyAlignment="1">
      <alignment horizontal="center" vertical="center"/>
    </xf>
    <xf numFmtId="41" fontId="19" fillId="4" borderId="31" xfId="0" applyNumberFormat="1" applyFont="1" applyFill="1" applyBorder="1" applyAlignment="1">
      <alignment horizontal="center" vertical="center"/>
    </xf>
    <xf numFmtId="41" fontId="19" fillId="4" borderId="28" xfId="0" applyNumberFormat="1" applyFont="1" applyFill="1" applyBorder="1" applyAlignment="1">
      <alignment horizontal="center" vertical="center"/>
    </xf>
    <xf numFmtId="41" fontId="19" fillId="4" borderId="29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1" fontId="2" fillId="2" borderId="2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43" fontId="0" fillId="9" borderId="35" xfId="0" applyNumberFormat="1" applyFill="1" applyBorder="1" applyAlignment="1">
      <alignment horizontal="center"/>
    </xf>
    <xf numFmtId="43" fontId="0" fillId="9" borderId="36" xfId="0" applyNumberFormat="1" applyFill="1" applyBorder="1" applyAlignment="1">
      <alignment horizontal="center"/>
    </xf>
    <xf numFmtId="0" fontId="1" fillId="9" borderId="30" xfId="0" applyFont="1" applyFill="1" applyBorder="1" applyAlignment="1">
      <alignment horizontal="center" vertical="center"/>
    </xf>
    <xf numFmtId="43" fontId="1" fillId="9" borderId="33" xfId="0" applyNumberFormat="1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20" fillId="4" borderId="2" xfId="0" applyFont="1" applyFill="1" applyBorder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41" fontId="18" fillId="4" borderId="26" xfId="0" applyNumberFormat="1" applyFont="1" applyFill="1" applyBorder="1" applyAlignment="1">
      <alignment horizontal="center" vertical="center"/>
    </xf>
    <xf numFmtId="41" fontId="18" fillId="4" borderId="27" xfId="0" applyNumberFormat="1" applyFont="1" applyFill="1" applyBorder="1" applyAlignment="1">
      <alignment horizontal="center" vertical="center"/>
    </xf>
    <xf numFmtId="41" fontId="18" fillId="4" borderId="30" xfId="0" applyNumberFormat="1" applyFont="1" applyFill="1" applyBorder="1" applyAlignment="1">
      <alignment horizontal="center" vertical="center"/>
    </xf>
    <xf numFmtId="41" fontId="18" fillId="4" borderId="31" xfId="0" applyNumberFormat="1" applyFont="1" applyFill="1" applyBorder="1" applyAlignment="1">
      <alignment horizontal="center" vertical="center"/>
    </xf>
    <xf numFmtId="41" fontId="18" fillId="4" borderId="28" xfId="0" applyNumberFormat="1" applyFont="1" applyFill="1" applyBorder="1" applyAlignment="1">
      <alignment horizontal="center" vertical="center"/>
    </xf>
    <xf numFmtId="41" fontId="18" fillId="4" borderId="29" xfId="0" applyNumberFormat="1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/>
    </xf>
    <xf numFmtId="0" fontId="26" fillId="10" borderId="2" xfId="0" applyFont="1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8" fillId="9" borderId="0" xfId="0" applyFont="1" applyFill="1" applyAlignment="1">
      <alignment horizontal="center" vertical="center"/>
    </xf>
    <xf numFmtId="41" fontId="1" fillId="2" borderId="3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5" fontId="0" fillId="9" borderId="35" xfId="0" applyNumberFormat="1" applyFill="1" applyBorder="1" applyAlignment="1">
      <alignment horizontal="center"/>
    </xf>
    <xf numFmtId="165" fontId="0" fillId="9" borderId="36" xfId="0" applyNumberFormat="1" applyFill="1" applyBorder="1" applyAlignment="1">
      <alignment horizontal="center"/>
    </xf>
    <xf numFmtId="41" fontId="1" fillId="9" borderId="30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27" fillId="7" borderId="37" xfId="0" applyFont="1" applyFill="1" applyBorder="1" applyAlignment="1">
      <alignment horizontal="center" vertical="center"/>
    </xf>
    <xf numFmtId="0" fontId="27" fillId="7" borderId="38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22" fillId="10" borderId="0" xfId="0" applyFont="1" applyFill="1" applyAlignment="1">
      <alignment horizontal="center"/>
    </xf>
    <xf numFmtId="0" fontId="23" fillId="10" borderId="2" xfId="0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6" fillId="7" borderId="23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39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0" fillId="5" borderId="8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6" fillId="7" borderId="2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9999"/>
      <color rgb="FF660066"/>
      <color rgb="FF0000FF"/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U38"/>
  <sheetViews>
    <sheetView workbookViewId="0">
      <selection activeCell="C5" sqref="C5"/>
    </sheetView>
  </sheetViews>
  <sheetFormatPr defaultRowHeight="15" x14ac:dyDescent="0.25"/>
  <cols>
    <col min="2" max="2" width="0.42578125" customWidth="1"/>
    <col min="3" max="3" width="8.7109375" customWidth="1"/>
    <col min="4" max="4" width="8.5703125" customWidth="1"/>
    <col min="6" max="8" width="8.5703125" customWidth="1"/>
    <col min="11" max="11" width="8.85546875" customWidth="1"/>
    <col min="12" max="12" width="8" customWidth="1"/>
    <col min="13" max="13" width="11.5703125" customWidth="1"/>
    <col min="14" max="14" width="13.5703125" customWidth="1"/>
    <col min="15" max="15" width="7.5703125" customWidth="1"/>
    <col min="16" max="16" width="13.85546875" customWidth="1"/>
    <col min="17" max="17" width="12.28515625" customWidth="1"/>
    <col min="18" max="18" width="9.7109375" customWidth="1"/>
    <col min="19" max="19" width="4.140625" customWidth="1"/>
    <col min="20" max="20" width="12" customWidth="1"/>
    <col min="21" max="21" width="11.5703125" customWidth="1"/>
  </cols>
  <sheetData>
    <row r="1" spans="1:21" x14ac:dyDescent="0.25">
      <c r="F1" s="107" t="s">
        <v>4</v>
      </c>
      <c r="G1" s="108"/>
      <c r="H1" s="109"/>
      <c r="Q1" s="121" t="s">
        <v>48</v>
      </c>
      <c r="R1" s="121"/>
      <c r="T1" s="118" t="s">
        <v>50</v>
      </c>
      <c r="U1" s="118"/>
    </row>
    <row r="2" spans="1:21" ht="15.75" thickBot="1" x14ac:dyDescent="0.3">
      <c r="F2" s="110"/>
      <c r="G2" s="111"/>
      <c r="H2" s="112"/>
      <c r="Q2" s="41">
        <f>M18</f>
        <v>0</v>
      </c>
      <c r="R2" s="42">
        <f>SUM(Q2*0.02)/1000</f>
        <v>0</v>
      </c>
      <c r="T2" s="40">
        <f>M18</f>
        <v>0</v>
      </c>
      <c r="U2" s="43">
        <f>T2/1000</f>
        <v>0</v>
      </c>
    </row>
    <row r="4" spans="1:21" x14ac:dyDescent="0.25">
      <c r="A4" s="91" t="s">
        <v>17</v>
      </c>
      <c r="B4" s="92"/>
      <c r="C4" s="6" t="s">
        <v>0</v>
      </c>
      <c r="D4" s="102"/>
      <c r="E4" s="103"/>
      <c r="F4" s="103"/>
      <c r="G4" s="103"/>
      <c r="H4" s="103"/>
      <c r="I4" s="103"/>
      <c r="J4" s="103"/>
      <c r="K4" s="103"/>
      <c r="L4" s="105"/>
      <c r="M4" s="3"/>
      <c r="N4" s="2" t="s">
        <v>1</v>
      </c>
      <c r="O4" s="46"/>
      <c r="Q4" s="121" t="s">
        <v>49</v>
      </c>
      <c r="R4" s="121"/>
    </row>
    <row r="5" spans="1:21" x14ac:dyDescent="0.25">
      <c r="A5" s="93"/>
      <c r="B5" s="94"/>
      <c r="C5" s="36"/>
      <c r="D5" s="36"/>
      <c r="E5" s="36"/>
      <c r="F5" s="36"/>
      <c r="G5" s="36"/>
      <c r="H5" s="36"/>
      <c r="I5" s="36"/>
      <c r="J5" s="36"/>
      <c r="K5" s="36"/>
      <c r="L5" s="36"/>
      <c r="M5" s="1" t="s">
        <v>2</v>
      </c>
      <c r="N5" s="2" t="s">
        <v>3</v>
      </c>
      <c r="O5" s="46" t="s">
        <v>54</v>
      </c>
      <c r="P5" s="52" t="s">
        <v>53</v>
      </c>
      <c r="Q5" s="48">
        <f>M18</f>
        <v>0</v>
      </c>
      <c r="R5" s="42">
        <f>SUM(Q5*0.03)/1000</f>
        <v>0</v>
      </c>
      <c r="T5" s="88" t="s">
        <v>81</v>
      </c>
      <c r="U5" s="88"/>
    </row>
    <row r="6" spans="1:21" x14ac:dyDescent="0.25">
      <c r="A6" s="96" t="s">
        <v>30</v>
      </c>
      <c r="B6" s="97"/>
      <c r="C6" s="7"/>
      <c r="D6" s="7"/>
      <c r="E6" s="7"/>
      <c r="F6" s="7"/>
      <c r="G6" s="7"/>
      <c r="H6" s="7"/>
      <c r="I6" s="7"/>
      <c r="J6" s="7"/>
      <c r="K6" s="7"/>
      <c r="L6" s="7"/>
      <c r="M6" s="5">
        <f>SUM(C6:L6)</f>
        <v>0</v>
      </c>
      <c r="N6" s="58">
        <f>(C5+4)*C6/100+(D5+4)*D6/100+(E5+4)*E6/100+(F5+4)*F6/100+(G5+4)*G6/100+(H5+4)*H6/100+(I5+4)*I6/100+(J5+4)*J6/100+(K5+4)*K6/100+(L5+4)*L6/100</f>
        <v>0</v>
      </c>
      <c r="O6" s="47"/>
      <c r="P6" s="53">
        <f>SUM((N6*O6)%+N6)/87</f>
        <v>0</v>
      </c>
      <c r="T6" s="89">
        <f>M18</f>
        <v>0</v>
      </c>
      <c r="U6" s="89">
        <f>T6/14400*100</f>
        <v>0</v>
      </c>
    </row>
    <row r="7" spans="1:21" x14ac:dyDescent="0.25">
      <c r="A7" s="98"/>
      <c r="B7" s="99"/>
      <c r="C7" s="7"/>
      <c r="D7" s="7"/>
      <c r="E7" s="7"/>
      <c r="F7" s="7"/>
      <c r="G7" s="7"/>
      <c r="H7" s="7"/>
      <c r="I7" s="7"/>
      <c r="J7" s="7"/>
      <c r="K7" s="7"/>
      <c r="L7" s="7"/>
      <c r="M7" s="5">
        <f t="shared" ref="M7:M17" si="0">SUM(C7:L7)</f>
        <v>0</v>
      </c>
      <c r="N7" s="58">
        <f>SUM((C5+4)*C7/100+(D5+4)*D7/100+(E5+4)*E7/100+(F5+4)*F7/100+(G5+4)*G7/100+(H5+4)*H7/100+(I5+4)*I7/100+(J5+4)*J7/100+(K5+4)*K7/100+(L5+4)*L7/100)</f>
        <v>0</v>
      </c>
      <c r="O7" s="47"/>
      <c r="P7" s="53">
        <f t="shared" ref="P7:P17" si="1">SUM((N7*O7)%+N7)/87</f>
        <v>0</v>
      </c>
      <c r="Q7" s="120" t="s">
        <v>36</v>
      </c>
      <c r="R7" s="120"/>
      <c r="T7" s="89">
        <f>M18</f>
        <v>0</v>
      </c>
      <c r="U7" s="89">
        <f>T7/9500*100</f>
        <v>0</v>
      </c>
    </row>
    <row r="8" spans="1:21" x14ac:dyDescent="0.25">
      <c r="A8" s="98"/>
      <c r="B8" s="99"/>
      <c r="C8" s="7"/>
      <c r="D8" s="7"/>
      <c r="E8" s="7"/>
      <c r="F8" s="7"/>
      <c r="G8" s="7"/>
      <c r="H8" s="7"/>
      <c r="I8" s="7"/>
      <c r="J8" s="7"/>
      <c r="K8" s="7"/>
      <c r="L8" s="7"/>
      <c r="M8" s="5">
        <f t="shared" si="0"/>
        <v>0</v>
      </c>
      <c r="N8" s="58">
        <f>SUM((C5+4)*C8/100+(D5+4)*D8/100+(E5+4)*E8/100+(F5+4)*F8/100+(G5+4)*G8/100+(H5+4)*H8/100+(I5+4)*I8/100+(J5+4)*J8/100+(K5+4)*K8/100+(L5+4)*L8/100)</f>
        <v>0</v>
      </c>
      <c r="O8" s="47"/>
      <c r="P8" s="53">
        <f t="shared" si="1"/>
        <v>0</v>
      </c>
      <c r="Q8" s="120"/>
      <c r="R8" s="120"/>
      <c r="U8" s="89">
        <f>SUM(U6:U7)</f>
        <v>0</v>
      </c>
    </row>
    <row r="9" spans="1:21" x14ac:dyDescent="0.25">
      <c r="A9" s="98"/>
      <c r="B9" s="99"/>
      <c r="C9" s="7"/>
      <c r="D9" s="7"/>
      <c r="E9" s="7"/>
      <c r="F9" s="7"/>
      <c r="G9" s="7"/>
      <c r="H9" s="7"/>
      <c r="I9" s="7"/>
      <c r="J9" s="7"/>
      <c r="K9" s="7"/>
      <c r="L9" s="7"/>
      <c r="M9" s="5">
        <f t="shared" si="0"/>
        <v>0</v>
      </c>
      <c r="N9" s="58">
        <f>SUM((C5+4)*C9/100+(D5+4)*D9/100+(E5+4)*E9/100+(F5+4)*F9/100+(G5+4)*G9/100+(H5+4)*H9/100+(I5+4)*I9/100+(J5+4)*J9/100+(K5+4)*K9/100+(L5+4)*L9/100)</f>
        <v>0</v>
      </c>
      <c r="O9" s="47"/>
      <c r="P9" s="53">
        <f t="shared" si="1"/>
        <v>0</v>
      </c>
      <c r="Q9" s="120"/>
      <c r="R9" s="120"/>
    </row>
    <row r="10" spans="1:21" x14ac:dyDescent="0.25">
      <c r="A10" s="98"/>
      <c r="B10" s="99"/>
      <c r="C10" s="7"/>
      <c r="D10" s="7"/>
      <c r="E10" s="7"/>
      <c r="F10" s="7"/>
      <c r="G10" s="7"/>
      <c r="H10" s="7"/>
      <c r="I10" s="7"/>
      <c r="J10" s="7"/>
      <c r="K10" s="7"/>
      <c r="L10" s="7"/>
      <c r="M10" s="5">
        <f t="shared" si="0"/>
        <v>0</v>
      </c>
      <c r="N10" s="58">
        <f>SUM((C5+4)*C10/100+(D5+4)*D10/100+(E5+4)*E10/100+(F5+4)*F10/100+(G5+4)*G10/100+(H5+4)*H10/100+(I5+4)*I10/100+(J5+4)*J10/100+(K5+4)*K10/100+(L5+4)*L10/100)</f>
        <v>0</v>
      </c>
      <c r="O10" s="47"/>
      <c r="P10" s="53">
        <f t="shared" si="1"/>
        <v>0</v>
      </c>
      <c r="Q10" s="120"/>
      <c r="R10" s="120"/>
    </row>
    <row r="11" spans="1:21" x14ac:dyDescent="0.25">
      <c r="A11" s="98"/>
      <c r="B11" s="99"/>
      <c r="C11" s="7"/>
      <c r="D11" s="7"/>
      <c r="E11" s="7"/>
      <c r="F11" s="7"/>
      <c r="G11" s="7"/>
      <c r="H11" s="7"/>
      <c r="I11" s="7"/>
      <c r="J11" s="7"/>
      <c r="K11" s="7"/>
      <c r="L11" s="7"/>
      <c r="M11" s="5">
        <f t="shared" si="0"/>
        <v>0</v>
      </c>
      <c r="N11" s="58">
        <f>SUM((C5+4)*C11/100+(D5+4)*D11/100+(E5+4)*E11/100+(F5+4)*F11/100+(G5+4)*G11/100+(H5+4)*H11/100+(I5+4)*I11/100+(J5+4)*J11/100+(K5+4)*K11/100+(L5+4)*L11/100)</f>
        <v>0</v>
      </c>
      <c r="O11" s="47"/>
      <c r="P11" s="53">
        <f t="shared" si="1"/>
        <v>0</v>
      </c>
      <c r="Q11" s="120"/>
      <c r="R11" s="120"/>
    </row>
    <row r="12" spans="1:21" x14ac:dyDescent="0.25">
      <c r="A12" s="98"/>
      <c r="B12" s="99"/>
      <c r="C12" s="7"/>
      <c r="D12" s="7"/>
      <c r="E12" s="7"/>
      <c r="F12" s="7"/>
      <c r="G12" s="7"/>
      <c r="H12" s="7"/>
      <c r="I12" s="7"/>
      <c r="J12" s="7"/>
      <c r="K12" s="7"/>
      <c r="L12" s="7"/>
      <c r="M12" s="5">
        <f t="shared" si="0"/>
        <v>0</v>
      </c>
      <c r="N12" s="58">
        <f>SUM((C5+4)*C12/100+(D5+4)*D12/100+(E5+4)*E12/100+(F5+4)*F12/100+(G5+4)*G12/100+(H5+4)*H12/100+(I5+4)*I12/100+(J5+4)*J12/100+(K5+4)*K12/100+(L5+4)*L12/100)</f>
        <v>0</v>
      </c>
      <c r="O12" s="47"/>
      <c r="P12" s="53">
        <f t="shared" si="1"/>
        <v>0</v>
      </c>
    </row>
    <row r="13" spans="1:21" x14ac:dyDescent="0.25">
      <c r="A13" s="98"/>
      <c r="B13" s="99"/>
      <c r="C13" s="7"/>
      <c r="D13" s="7"/>
      <c r="E13" s="7"/>
      <c r="F13" s="7"/>
      <c r="G13" s="7"/>
      <c r="H13" s="7"/>
      <c r="I13" s="7"/>
      <c r="J13" s="7"/>
      <c r="K13" s="7"/>
      <c r="L13" s="7"/>
      <c r="M13" s="5">
        <f t="shared" si="0"/>
        <v>0</v>
      </c>
      <c r="N13" s="58">
        <f>SUM((C5+4)*C13/100+(D5+4)*D13/100+(E5+4)*E13/100+(F5+4)*F13/100+(G5+4)*G13/100+(H5+4)*H13/100+(I5+4)*I13/100+(J5+4)*J13/100+(K5+4)*K13/100+(L5+4)*L13/100)</f>
        <v>0</v>
      </c>
      <c r="O13" s="47"/>
      <c r="P13" s="53">
        <f t="shared" si="1"/>
        <v>0</v>
      </c>
    </row>
    <row r="14" spans="1:21" x14ac:dyDescent="0.25">
      <c r="A14" s="98"/>
      <c r="B14" s="99"/>
      <c r="C14" s="7"/>
      <c r="D14" s="7"/>
      <c r="E14" s="7"/>
      <c r="F14" s="7"/>
      <c r="G14" s="7"/>
      <c r="H14" s="7"/>
      <c r="I14" s="7"/>
      <c r="J14" s="7"/>
      <c r="K14" s="7"/>
      <c r="L14" s="7"/>
      <c r="M14" s="5">
        <f t="shared" si="0"/>
        <v>0</v>
      </c>
      <c r="N14" s="58">
        <f>SUM((C5+4)*C14/100+(D5+4)*D14/100+(E5+4)*E14/100+(F5+4)*F14/100+(G5+4)*G14/100+(H5+4)*H14/100+(I5+4)*I14/100+(J5+4)*J14/100+(K5+4)*K14/100+(L5+4)*L14/100)</f>
        <v>0</v>
      </c>
      <c r="O14" s="47"/>
      <c r="P14" s="53">
        <f t="shared" si="1"/>
        <v>0</v>
      </c>
    </row>
    <row r="15" spans="1:21" x14ac:dyDescent="0.25">
      <c r="A15" s="98"/>
      <c r="B15" s="99"/>
      <c r="C15" s="7"/>
      <c r="D15" s="7"/>
      <c r="E15" s="7"/>
      <c r="F15" s="7"/>
      <c r="G15" s="7"/>
      <c r="H15" s="7"/>
      <c r="I15" s="7"/>
      <c r="J15" s="7"/>
      <c r="K15" s="7"/>
      <c r="L15" s="7"/>
      <c r="M15" s="5">
        <f t="shared" si="0"/>
        <v>0</v>
      </c>
      <c r="N15" s="58">
        <f>SUM((C5+4)*C15/100+(D5+4)*D15/100+(E5+4)*E15/100+(F5+4)*F15/100+(G5+4)*G15/100+(H5+4)*H15/100+(I5+4)*I15/100+(J5+4)*J15/100+(K5+4)*K15/100+(L5+4)*L15/100)</f>
        <v>0</v>
      </c>
      <c r="O15" s="47"/>
      <c r="P15" s="53">
        <f t="shared" si="1"/>
        <v>0</v>
      </c>
    </row>
    <row r="16" spans="1:21" x14ac:dyDescent="0.25">
      <c r="A16" s="98"/>
      <c r="B16" s="99"/>
      <c r="C16" s="7"/>
      <c r="D16" s="7"/>
      <c r="E16" s="7"/>
      <c r="F16" s="7"/>
      <c r="G16" s="7"/>
      <c r="H16" s="7"/>
      <c r="I16" s="7"/>
      <c r="J16" s="7"/>
      <c r="K16" s="7"/>
      <c r="L16" s="7"/>
      <c r="M16" s="5">
        <f t="shared" si="0"/>
        <v>0</v>
      </c>
      <c r="N16" s="58">
        <f>SUM((C5+4)*C16/100+(D5+4)*D16/100+(E5+4)*E16/100+(F5+4)*F16/100+(G5+4)*G16/100+(H5+4)*H16/100+(I5+4)*I16/100+(J5+4)*J16/100+(K5+4)*K16/100+(L5+4)*L16/100)</f>
        <v>0</v>
      </c>
      <c r="O16" s="47"/>
      <c r="P16" s="53">
        <f t="shared" si="1"/>
        <v>0</v>
      </c>
    </row>
    <row r="17" spans="1:21" ht="15.75" thickBot="1" x14ac:dyDescent="0.3">
      <c r="A17" s="98"/>
      <c r="B17" s="99"/>
      <c r="C17" s="7"/>
      <c r="D17" s="7"/>
      <c r="E17" s="7"/>
      <c r="F17" s="7"/>
      <c r="G17" s="7"/>
      <c r="H17" s="7"/>
      <c r="I17" s="7"/>
      <c r="J17" s="7"/>
      <c r="K17" s="7"/>
      <c r="L17" s="7"/>
      <c r="M17" s="5">
        <f t="shared" si="0"/>
        <v>0</v>
      </c>
      <c r="N17" s="8">
        <f>SUM((C5+4)*C17/100+(D5+4)*D17/100+(E5+4)*E17/100+(F5+4)*F17/100+(G5+4)*G17/100+(H5+4)*H17/100+(I5+4)*I17/100+(J5+4)*J17/100+(K5+4)*K17/100+(L5+4)*L17/100)</f>
        <v>0</v>
      </c>
      <c r="O17" s="47"/>
      <c r="P17" s="53">
        <f t="shared" si="1"/>
        <v>0</v>
      </c>
    </row>
    <row r="18" spans="1:21" x14ac:dyDescent="0.25">
      <c r="A18" s="98"/>
      <c r="B18" s="99"/>
      <c r="C18" s="106">
        <f>SUM(C6:C17)</f>
        <v>0</v>
      </c>
      <c r="D18" s="106">
        <f t="shared" ref="D18:M18" si="2">SUM(D6:D17)</f>
        <v>0</v>
      </c>
      <c r="E18" s="106">
        <f t="shared" si="2"/>
        <v>0</v>
      </c>
      <c r="F18" s="106">
        <f t="shared" si="2"/>
        <v>0</v>
      </c>
      <c r="G18" s="106">
        <f t="shared" si="2"/>
        <v>0</v>
      </c>
      <c r="H18" s="106">
        <f t="shared" si="2"/>
        <v>0</v>
      </c>
      <c r="I18" s="106">
        <f t="shared" si="2"/>
        <v>0</v>
      </c>
      <c r="J18" s="106">
        <f t="shared" si="2"/>
        <v>0</v>
      </c>
      <c r="K18" s="106">
        <f t="shared" si="2"/>
        <v>0</v>
      </c>
      <c r="L18" s="106">
        <f t="shared" si="2"/>
        <v>0</v>
      </c>
      <c r="M18" s="106">
        <f t="shared" si="2"/>
        <v>0</v>
      </c>
      <c r="N18" s="4"/>
      <c r="O18" s="115" t="s">
        <v>56</v>
      </c>
      <c r="P18" s="113">
        <f>SUM(P6:P17)</f>
        <v>0</v>
      </c>
    </row>
    <row r="19" spans="1:21" ht="15.75" thickBot="1" x14ac:dyDescent="0.3">
      <c r="A19" s="100"/>
      <c r="B19" s="101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4"/>
      <c r="O19" s="115"/>
      <c r="P19" s="114"/>
    </row>
    <row r="20" spans="1:21" ht="15.75" thickBot="1" x14ac:dyDescent="0.3"/>
    <row r="21" spans="1:21" x14ac:dyDescent="0.25">
      <c r="F21" s="107" t="s">
        <v>5</v>
      </c>
      <c r="G21" s="108"/>
      <c r="H21" s="109"/>
      <c r="Q21" s="122" t="s">
        <v>48</v>
      </c>
      <c r="R21" s="122"/>
      <c r="T21" s="119" t="s">
        <v>50</v>
      </c>
      <c r="U21" s="119"/>
    </row>
    <row r="22" spans="1:21" ht="15.75" thickBot="1" x14ac:dyDescent="0.3">
      <c r="F22" s="110"/>
      <c r="G22" s="111"/>
      <c r="H22" s="112"/>
      <c r="Q22" s="41">
        <f>M37</f>
        <v>0</v>
      </c>
      <c r="R22" s="42">
        <f>SUM(Q22*0.02)/1000</f>
        <v>0</v>
      </c>
      <c r="T22" s="40">
        <f>M37</f>
        <v>0</v>
      </c>
      <c r="U22" s="43">
        <f>T22/1000</f>
        <v>0</v>
      </c>
    </row>
    <row r="23" spans="1:21" x14ac:dyDescent="0.25">
      <c r="A23" s="95" t="s">
        <v>16</v>
      </c>
      <c r="B23" s="95"/>
      <c r="C23" s="6" t="s">
        <v>0</v>
      </c>
      <c r="D23" s="102"/>
      <c r="E23" s="103"/>
      <c r="F23" s="104"/>
      <c r="G23" s="104"/>
      <c r="H23" s="104"/>
      <c r="I23" s="103"/>
      <c r="J23" s="103"/>
      <c r="K23" s="103"/>
      <c r="L23" s="105"/>
      <c r="M23" s="3"/>
      <c r="N23" s="2" t="s">
        <v>1</v>
      </c>
      <c r="O23" s="46"/>
    </row>
    <row r="24" spans="1:21" x14ac:dyDescent="0.25">
      <c r="A24" s="95"/>
      <c r="B24" s="9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1" t="s">
        <v>2</v>
      </c>
      <c r="N24" s="2" t="s">
        <v>3</v>
      </c>
      <c r="O24" s="49" t="s">
        <v>54</v>
      </c>
      <c r="P24" s="52" t="s">
        <v>53</v>
      </c>
      <c r="Q24" s="122" t="s">
        <v>49</v>
      </c>
      <c r="R24" s="122"/>
    </row>
    <row r="25" spans="1:21" x14ac:dyDescent="0.25">
      <c r="A25" s="96" t="s">
        <v>30</v>
      </c>
      <c r="B25" s="97"/>
      <c r="C25" s="7"/>
      <c r="D25" s="7"/>
      <c r="E25" s="7"/>
      <c r="F25" s="7"/>
      <c r="G25" s="7"/>
      <c r="H25" s="7"/>
      <c r="I25" s="7"/>
      <c r="J25" s="7"/>
      <c r="K25" s="7"/>
      <c r="L25" s="7"/>
      <c r="M25" s="5">
        <f>SUM(C25:L25)</f>
        <v>0</v>
      </c>
      <c r="N25" s="8">
        <f>SUM((C24+1.58)*C25/39.37+(D24+1.58)*D25/39.37+(E24+1.58)*E25/39.37+(F24+1.58)*F25/39.37+(G24+1.58)*G25/39.37+(H24+1.58)*H25/39.37+(I24+1.58)*I25/39.37+(J24+1.58)*J25/39.37+(K24+1.58)*K25/39.37+(L24+1.58)*L25/39.37)</f>
        <v>0</v>
      </c>
      <c r="O25" s="47"/>
      <c r="P25" s="53">
        <f>SUM((N25*O25)%+N25)/87</f>
        <v>0</v>
      </c>
      <c r="Q25" s="41">
        <f>M37</f>
        <v>0</v>
      </c>
      <c r="R25" s="42">
        <f>SUM(Q25*0.03)/1000</f>
        <v>0</v>
      </c>
      <c r="T25" s="88" t="s">
        <v>81</v>
      </c>
      <c r="U25" s="88"/>
    </row>
    <row r="26" spans="1:21" x14ac:dyDescent="0.25">
      <c r="A26" s="98"/>
      <c r="B26" s="99"/>
      <c r="C26" s="7"/>
      <c r="D26" s="7"/>
      <c r="E26" s="7"/>
      <c r="F26" s="7"/>
      <c r="G26" s="7"/>
      <c r="H26" s="7"/>
      <c r="I26" s="7"/>
      <c r="J26" s="7"/>
      <c r="K26" s="7"/>
      <c r="L26" s="7"/>
      <c r="M26" s="5">
        <f t="shared" ref="M26:M36" si="3">SUM(C26:L26)</f>
        <v>0</v>
      </c>
      <c r="N26" s="8">
        <f>(C24+1.58)*C26/39.37+(D24+1.58)*D26/39.37+(E24+1.58)*E26/39.37+(F24+1.58)*F26/39.37+(G24+1.58)*G26/39.37+(H24+1.58)*H26/39.37+(I24+1.58)*I26/39.37+(J24+1.58)*J26/39.37+(K24+1.58)*K26/39.37+(L24+1.58)*L26/39.37</f>
        <v>0</v>
      </c>
      <c r="O26" s="47"/>
      <c r="P26" s="53">
        <f t="shared" ref="P26:P36" si="4">SUM((N26*O26)%+N26)/87</f>
        <v>0</v>
      </c>
      <c r="T26" s="89">
        <f>M37</f>
        <v>0</v>
      </c>
      <c r="U26" s="89">
        <f>T26/14400*100</f>
        <v>0</v>
      </c>
    </row>
    <row r="27" spans="1:21" x14ac:dyDescent="0.25">
      <c r="A27" s="98"/>
      <c r="B27" s="99"/>
      <c r="C27" s="7"/>
      <c r="D27" s="7"/>
      <c r="E27" s="7"/>
      <c r="F27" s="7"/>
      <c r="G27" s="7"/>
      <c r="H27" s="7"/>
      <c r="I27" s="7"/>
      <c r="J27" s="7"/>
      <c r="K27" s="7"/>
      <c r="L27" s="7"/>
      <c r="M27" s="5">
        <f t="shared" si="3"/>
        <v>0</v>
      </c>
      <c r="N27" s="8">
        <f>(C24+1.58)*C27/39.37+(D24+1.58)*D27/39.37+(E24+1.58)*E27/39.37+(F24+1.58)*F27/39.37+(G24+1.58)*G27/39.37+(H24+1.58)*H27/39.37+(I24+1.58)*I27/39.37+(J24+1.58)*J27/39.37+(K24+1.58)*K27/39.37+(L24+1.58)*L27/39.37</f>
        <v>0</v>
      </c>
      <c r="O27" s="47"/>
      <c r="P27" s="53">
        <f t="shared" si="4"/>
        <v>0</v>
      </c>
      <c r="Q27" s="120" t="s">
        <v>37</v>
      </c>
      <c r="R27" s="120"/>
      <c r="T27" s="89">
        <f>M37</f>
        <v>0</v>
      </c>
      <c r="U27" s="89">
        <f>T27/9500*100</f>
        <v>0</v>
      </c>
    </row>
    <row r="28" spans="1:21" x14ac:dyDescent="0.25">
      <c r="A28" s="98"/>
      <c r="B28" s="99"/>
      <c r="C28" s="7"/>
      <c r="D28" s="7"/>
      <c r="E28" s="7"/>
      <c r="F28" s="7"/>
      <c r="G28" s="7"/>
      <c r="H28" s="7"/>
      <c r="I28" s="7"/>
      <c r="J28" s="7"/>
      <c r="K28" s="7"/>
      <c r="L28" s="7"/>
      <c r="M28" s="5">
        <f t="shared" si="3"/>
        <v>0</v>
      </c>
      <c r="N28" s="8">
        <f>(C24+1.58)*C28/39.37+(D24+1.58)*D28/39.37+(E24+1.58)*E28/39.37+(F24+1.58)*F28/39.37+(G24+1.58)*G28/39.37+(H24+1.58)*H28/39.37+(I24+1.58)*I28/39.37+(J24+1.58)*J28/39.37+(K24+1.58)*K28/39.37+(L24+1.58)*L28/39.37</f>
        <v>0</v>
      </c>
      <c r="O28" s="47"/>
      <c r="P28" s="53">
        <f t="shared" si="4"/>
        <v>0</v>
      </c>
      <c r="Q28" s="120"/>
      <c r="R28" s="120"/>
      <c r="U28" s="89">
        <f>SUM(U26:U27)</f>
        <v>0</v>
      </c>
    </row>
    <row r="29" spans="1:21" x14ac:dyDescent="0.25">
      <c r="A29" s="98"/>
      <c r="B29" s="99"/>
      <c r="C29" s="7"/>
      <c r="D29" s="7"/>
      <c r="E29" s="7"/>
      <c r="F29" s="7"/>
      <c r="G29" s="7"/>
      <c r="H29" s="7"/>
      <c r="I29" s="7"/>
      <c r="J29" s="7"/>
      <c r="K29" s="7"/>
      <c r="L29" s="7"/>
      <c r="M29" s="5">
        <f t="shared" si="3"/>
        <v>0</v>
      </c>
      <c r="N29" s="8">
        <f>(C24+1.58)*C29/39.37+(D24+1.58)*D29/39.37+(E24+1.58)*E29/39.37+(F24+1.58)*F29/39.37+(G24+1.58)*G29/39.37+(H24+1.58)*H29/39.37+(I24+1.58)*I29/39.37+(J24+1.58)*J29/39.37+(K24+1.58)*K29/39.37+(L24+1.58)*L29/39.37</f>
        <v>0</v>
      </c>
      <c r="O29" s="47"/>
      <c r="P29" s="53">
        <f t="shared" si="4"/>
        <v>0</v>
      </c>
      <c r="Q29" s="120"/>
      <c r="R29" s="120"/>
    </row>
    <row r="30" spans="1:21" x14ac:dyDescent="0.25">
      <c r="A30" s="98"/>
      <c r="B30" s="99"/>
      <c r="C30" s="7"/>
      <c r="D30" s="7"/>
      <c r="E30" s="7"/>
      <c r="F30" s="7"/>
      <c r="G30" s="7"/>
      <c r="H30" s="7"/>
      <c r="I30" s="7"/>
      <c r="J30" s="7"/>
      <c r="K30" s="7"/>
      <c r="L30" s="7"/>
      <c r="M30" s="5">
        <f t="shared" si="3"/>
        <v>0</v>
      </c>
      <c r="N30" s="8">
        <f>(C24+1.58)*C30/39.37+(D24+1.58)*D30/39.37+(E24+1.58)*E30/39.37+(F24+1.58)*F30/39.37+(G24+1.58)*G30/39.37+(H24+1.58)*H30/39.37+(I24+1.58)*I30/39.37+(J24+1.58)*J30/39.37+(K24+1.58)*K30/39.37+(L24+1.58)*L30/39.37</f>
        <v>0</v>
      </c>
      <c r="O30" s="47"/>
      <c r="P30" s="53">
        <f t="shared" si="4"/>
        <v>0</v>
      </c>
      <c r="Q30" s="120"/>
      <c r="R30" s="120"/>
    </row>
    <row r="31" spans="1:21" x14ac:dyDescent="0.25">
      <c r="A31" s="98"/>
      <c r="B31" s="99"/>
      <c r="C31" s="7"/>
      <c r="D31" s="7"/>
      <c r="E31" s="7"/>
      <c r="F31" s="7"/>
      <c r="G31" s="7"/>
      <c r="H31" s="7"/>
      <c r="I31" s="7"/>
      <c r="J31" s="7"/>
      <c r="K31" s="7"/>
      <c r="L31" s="7"/>
      <c r="M31" s="5">
        <f t="shared" si="3"/>
        <v>0</v>
      </c>
      <c r="N31" s="8">
        <f>(C24+1.58)*C31/39.37+(D24+1.58)*D31/39.37+(E24+1.58)*E31/39.37+(F24+1.58)*F31/39.37+(G24+1.58)*G31/39.37+(H24+1.58)*H31/39.37+(I24+1.58)*I31/39.37+(J24+1.58)*J31/39.37+(K24+1.58)*K31/39.37+(L24+1.58)*L31/39.37</f>
        <v>0</v>
      </c>
      <c r="O31" s="47"/>
      <c r="P31" s="53">
        <f t="shared" si="4"/>
        <v>0</v>
      </c>
      <c r="Q31" s="120"/>
      <c r="R31" s="120"/>
    </row>
    <row r="32" spans="1:21" x14ac:dyDescent="0.25">
      <c r="A32" s="98"/>
      <c r="B32" s="99"/>
      <c r="C32" s="7"/>
      <c r="D32" s="7"/>
      <c r="E32" s="7"/>
      <c r="F32" s="7"/>
      <c r="G32" s="7"/>
      <c r="H32" s="7"/>
      <c r="I32" s="7"/>
      <c r="J32" s="7"/>
      <c r="K32" s="7"/>
      <c r="L32" s="7"/>
      <c r="M32" s="5">
        <f t="shared" si="3"/>
        <v>0</v>
      </c>
      <c r="N32" s="8">
        <f>(C24+1.58)*C32/39.37+(D24+1.58)*D32/39.37+(E24+1.58)*E32/39.37+(F24+1.58)*F32/39.37+(G24+1.58)*G32/39.37+(H24+1.58)*H32/39.37+(I24+1.58)*I32/39.37+(J24+1.58)*J32/39.37+(K24+1.58)*K32/39.37+(L24+1.58)*L32/39.37</f>
        <v>0</v>
      </c>
      <c r="O32" s="47"/>
      <c r="P32" s="53">
        <f t="shared" si="4"/>
        <v>0</v>
      </c>
    </row>
    <row r="33" spans="1:16" x14ac:dyDescent="0.25">
      <c r="A33" s="98"/>
      <c r="B33" s="99"/>
      <c r="C33" s="7"/>
      <c r="D33" s="7"/>
      <c r="E33" s="7"/>
      <c r="F33" s="7"/>
      <c r="G33" s="7"/>
      <c r="H33" s="7"/>
      <c r="I33" s="7"/>
      <c r="J33" s="7"/>
      <c r="K33" s="7"/>
      <c r="L33" s="7"/>
      <c r="M33" s="5">
        <f t="shared" si="3"/>
        <v>0</v>
      </c>
      <c r="N33" s="8">
        <f>(C24+1.58)*C33/39.37+(D24+1.58)*D33/39.37+(E24+1.58)*E33/39.37+(F24+1.58)*F33/39.37+(G24+1.58)*G33/39.37+(H24+1.58)*H33/39.37+(I24+1.58)*I33/39.37+(J24+1.58)*J33/39.37+(K24+1.58)*K33/39.37+(L24+1.58)*L33/39.37</f>
        <v>0</v>
      </c>
      <c r="O33" s="47"/>
      <c r="P33" s="53">
        <f t="shared" si="4"/>
        <v>0</v>
      </c>
    </row>
    <row r="34" spans="1:16" x14ac:dyDescent="0.25">
      <c r="A34" s="98"/>
      <c r="B34" s="99"/>
      <c r="C34" s="7"/>
      <c r="D34" s="7"/>
      <c r="E34" s="7"/>
      <c r="F34" s="7"/>
      <c r="G34" s="7"/>
      <c r="H34" s="7"/>
      <c r="I34" s="7"/>
      <c r="J34" s="7"/>
      <c r="K34" s="7"/>
      <c r="L34" s="7"/>
      <c r="M34" s="5">
        <f t="shared" si="3"/>
        <v>0</v>
      </c>
      <c r="N34" s="8">
        <f>(C24+1.58)*C34/39.37+(D24+1.58)*D34/39.37+(E24+1.58)*E34/39.37+(F24+1.58)*F34/39.37+(G24+1.58)*G34/39.37+(H24+1.58)*H34/39.37+(I24+1.58)*I34/39.37+(J24+1.58)*J34/39.37+(K24+1.58)*K34/39.37+(L24+1.58)*L34/39.37</f>
        <v>0</v>
      </c>
      <c r="O34" s="47"/>
      <c r="P34" s="53">
        <f t="shared" si="4"/>
        <v>0</v>
      </c>
    </row>
    <row r="35" spans="1:16" x14ac:dyDescent="0.25">
      <c r="A35" s="98"/>
      <c r="B35" s="99"/>
      <c r="C35" s="7"/>
      <c r="D35" s="7"/>
      <c r="E35" s="7"/>
      <c r="F35" s="7"/>
      <c r="G35" s="7"/>
      <c r="H35" s="7"/>
      <c r="I35" s="7"/>
      <c r="J35" s="7"/>
      <c r="K35" s="7"/>
      <c r="L35" s="7"/>
      <c r="M35" s="5">
        <f t="shared" si="3"/>
        <v>0</v>
      </c>
      <c r="N35" s="8">
        <f>(C24+1.58)*C35/39.37+(D24+1.58)*D35/39.37+(E24+1.58)*E35/39.37+(F24+1.58)*F35/39.37+(G24+1.58)*G35/39.37+(H24+1.58)*H35/39.37+(I24+1.58)*I35/39.37+(J24+1.58)*J35/39.37+(K24+1.58)*K35/39.37+(L24+1.58)*L35/39.37</f>
        <v>0</v>
      </c>
      <c r="O35" s="47"/>
      <c r="P35" s="53">
        <f t="shared" si="4"/>
        <v>0</v>
      </c>
    </row>
    <row r="36" spans="1:16" ht="15.75" thickBot="1" x14ac:dyDescent="0.3">
      <c r="A36" s="98"/>
      <c r="B36" s="99"/>
      <c r="C36" s="7"/>
      <c r="D36" s="7"/>
      <c r="E36" s="7"/>
      <c r="F36" s="7"/>
      <c r="G36" s="7"/>
      <c r="H36" s="7"/>
      <c r="I36" s="7"/>
      <c r="J36" s="7"/>
      <c r="K36" s="7"/>
      <c r="L36" s="7"/>
      <c r="M36" s="5">
        <f t="shared" si="3"/>
        <v>0</v>
      </c>
      <c r="N36" s="8">
        <f>(C24+1.58)*C36/39.37+(D24+1.58)*D36/39.37+(E24+1.58)*E36/39.37+(F24+1.58)*F36/39.37+(G24+1.58)*G36/39.37+(H24+1.58)*H36/39.37+(I24+1.58)*I36/39.37+(J24+1.58)*J36/39.37+(K24+1.58)*K36/39.37+(L24+1.58)*L36/39.37</f>
        <v>0</v>
      </c>
      <c r="O36" s="47"/>
      <c r="P36" s="53">
        <f t="shared" si="4"/>
        <v>0</v>
      </c>
    </row>
    <row r="37" spans="1:16" x14ac:dyDescent="0.25">
      <c r="A37" s="98"/>
      <c r="B37" s="99"/>
      <c r="C37" s="106">
        <f>SUM(C25:C36)</f>
        <v>0</v>
      </c>
      <c r="D37" s="106">
        <f t="shared" ref="D37:M37" si="5">SUM(D25:D36)</f>
        <v>0</v>
      </c>
      <c r="E37" s="106">
        <f t="shared" si="5"/>
        <v>0</v>
      </c>
      <c r="F37" s="106">
        <f t="shared" si="5"/>
        <v>0</v>
      </c>
      <c r="G37" s="106">
        <f t="shared" si="5"/>
        <v>0</v>
      </c>
      <c r="H37" s="106">
        <f t="shared" si="5"/>
        <v>0</v>
      </c>
      <c r="I37" s="106">
        <f t="shared" si="5"/>
        <v>0</v>
      </c>
      <c r="J37" s="106">
        <f t="shared" si="5"/>
        <v>0</v>
      </c>
      <c r="K37" s="106">
        <f t="shared" si="5"/>
        <v>0</v>
      </c>
      <c r="L37" s="106">
        <f t="shared" si="5"/>
        <v>0</v>
      </c>
      <c r="M37" s="106">
        <f t="shared" si="5"/>
        <v>0</v>
      </c>
      <c r="N37" s="4"/>
      <c r="O37" s="115" t="s">
        <v>56</v>
      </c>
      <c r="P37" s="116">
        <f>SUM(P25:P36)</f>
        <v>0</v>
      </c>
    </row>
    <row r="38" spans="1:16" ht="15.75" thickBot="1" x14ac:dyDescent="0.3">
      <c r="A38" s="100"/>
      <c r="B38" s="101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4"/>
      <c r="O38" s="115"/>
      <c r="P38" s="117"/>
    </row>
  </sheetData>
  <mergeCells count="42">
    <mergeCell ref="P18:P19"/>
    <mergeCell ref="O18:O19"/>
    <mergeCell ref="P37:P38"/>
    <mergeCell ref="O37:O38"/>
    <mergeCell ref="T1:U1"/>
    <mergeCell ref="T21:U21"/>
    <mergeCell ref="Q7:R11"/>
    <mergeCell ref="Q27:R31"/>
    <mergeCell ref="Q1:R1"/>
    <mergeCell ref="Q4:R4"/>
    <mergeCell ref="Q21:R21"/>
    <mergeCell ref="Q24:R24"/>
    <mergeCell ref="M37:M38"/>
    <mergeCell ref="F1:H2"/>
    <mergeCell ref="F21:H22"/>
    <mergeCell ref="H37:H38"/>
    <mergeCell ref="I37:I38"/>
    <mergeCell ref="J37:J38"/>
    <mergeCell ref="K37:K38"/>
    <mergeCell ref="L37:L38"/>
    <mergeCell ref="M18:M19"/>
    <mergeCell ref="H18:H19"/>
    <mergeCell ref="G18:G19"/>
    <mergeCell ref="K18:K19"/>
    <mergeCell ref="L18:L19"/>
    <mergeCell ref="D4:L4"/>
    <mergeCell ref="A4:B5"/>
    <mergeCell ref="A23:B24"/>
    <mergeCell ref="A25:B38"/>
    <mergeCell ref="D23:L23"/>
    <mergeCell ref="I18:I19"/>
    <mergeCell ref="J18:J19"/>
    <mergeCell ref="C18:C19"/>
    <mergeCell ref="D18:D19"/>
    <mergeCell ref="E18:E19"/>
    <mergeCell ref="F18:F19"/>
    <mergeCell ref="A6:B19"/>
    <mergeCell ref="C37:C38"/>
    <mergeCell ref="D37:D38"/>
    <mergeCell ref="E37:E38"/>
    <mergeCell ref="F37:F38"/>
    <mergeCell ref="G37:G38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66"/>
  </sheetPr>
  <dimension ref="A1:T39"/>
  <sheetViews>
    <sheetView tabSelected="1" workbookViewId="0">
      <selection activeCell="C5" sqref="C5"/>
    </sheetView>
  </sheetViews>
  <sheetFormatPr defaultRowHeight="15" x14ac:dyDescent="0.25"/>
  <cols>
    <col min="1" max="1" width="7.42578125" customWidth="1"/>
    <col min="2" max="2" width="2.85546875" customWidth="1"/>
    <col min="10" max="10" width="8.42578125" customWidth="1"/>
    <col min="13" max="13" width="13.140625" customWidth="1"/>
    <col min="14" max="14" width="13.28515625" customWidth="1"/>
    <col min="15" max="15" width="7.140625" customWidth="1"/>
    <col min="16" max="16" width="10.42578125" customWidth="1"/>
    <col min="17" max="17" width="11.85546875" customWidth="1"/>
    <col min="19" max="19" width="11" customWidth="1"/>
    <col min="20" max="20" width="11.7109375" customWidth="1"/>
  </cols>
  <sheetData>
    <row r="1" spans="1:20" x14ac:dyDescent="0.25">
      <c r="G1" s="107" t="s">
        <v>14</v>
      </c>
      <c r="H1" s="108"/>
      <c r="I1" s="109"/>
      <c r="Q1" s="119" t="s">
        <v>57</v>
      </c>
      <c r="R1" s="119"/>
      <c r="S1" s="133" t="s">
        <v>81</v>
      </c>
      <c r="T1" s="134"/>
    </row>
    <row r="2" spans="1:20" ht="15.75" thickBot="1" x14ac:dyDescent="0.3">
      <c r="G2" s="110"/>
      <c r="H2" s="111"/>
      <c r="I2" s="112"/>
      <c r="Q2" s="40">
        <f>M18</f>
        <v>0</v>
      </c>
      <c r="R2" s="43">
        <f>Q2*0.04/1000</f>
        <v>0</v>
      </c>
      <c r="S2" s="89">
        <f>M18</f>
        <v>0</v>
      </c>
      <c r="T2" s="89">
        <f>S2/7700*100</f>
        <v>0</v>
      </c>
    </row>
    <row r="3" spans="1:20" x14ac:dyDescent="0.25">
      <c r="S3" s="89">
        <f>M18</f>
        <v>0</v>
      </c>
      <c r="T3" s="89">
        <f>S3/8600*100</f>
        <v>0</v>
      </c>
    </row>
    <row r="4" spans="1:20" x14ac:dyDescent="0.25">
      <c r="A4" s="123" t="s">
        <v>17</v>
      </c>
      <c r="B4" s="123"/>
      <c r="C4" s="6" t="s">
        <v>0</v>
      </c>
      <c r="D4" s="102"/>
      <c r="E4" s="103"/>
      <c r="F4" s="103"/>
      <c r="G4" s="103"/>
      <c r="H4" s="103"/>
      <c r="I4" s="103"/>
      <c r="J4" s="103"/>
      <c r="K4" s="103"/>
      <c r="L4" s="105"/>
      <c r="M4" s="3"/>
      <c r="N4" s="2" t="s">
        <v>1</v>
      </c>
      <c r="O4" s="46"/>
      <c r="Q4" s="135" t="s">
        <v>59</v>
      </c>
      <c r="R4" s="136"/>
      <c r="S4" s="90"/>
      <c r="T4" s="89">
        <f>SUM(T2:T3)</f>
        <v>0</v>
      </c>
    </row>
    <row r="5" spans="1:20" x14ac:dyDescent="0.25">
      <c r="A5" s="123"/>
      <c r="B5" s="123"/>
      <c r="C5" s="36"/>
      <c r="D5" s="36"/>
      <c r="E5" s="36"/>
      <c r="F5" s="36"/>
      <c r="G5" s="36"/>
      <c r="H5" s="36"/>
      <c r="I5" s="36"/>
      <c r="J5" s="36"/>
      <c r="K5" s="36"/>
      <c r="L5" s="36"/>
      <c r="M5" s="1" t="s">
        <v>2</v>
      </c>
      <c r="N5" s="2" t="s">
        <v>3</v>
      </c>
      <c r="O5" s="50" t="s">
        <v>55</v>
      </c>
      <c r="P5" s="61" t="s">
        <v>53</v>
      </c>
      <c r="Q5" s="40">
        <f>M18</f>
        <v>0</v>
      </c>
      <c r="R5" s="43">
        <f>Q5*0.04/1000</f>
        <v>0</v>
      </c>
    </row>
    <row r="6" spans="1:20" x14ac:dyDescent="0.25">
      <c r="A6" s="125" t="s">
        <v>31</v>
      </c>
      <c r="B6" s="126"/>
      <c r="C6" s="7"/>
      <c r="D6" s="7"/>
      <c r="E6" s="7"/>
      <c r="F6" s="7"/>
      <c r="G6" s="7"/>
      <c r="H6" s="7"/>
      <c r="I6" s="7"/>
      <c r="J6" s="7"/>
      <c r="K6" s="7"/>
      <c r="L6" s="7"/>
      <c r="M6" s="5">
        <f>SUM(C6:L6)</f>
        <v>0</v>
      </c>
      <c r="N6" s="8">
        <f>SUM((C5+4.5)*C6/100+(D5+4.5)*D6/100+(E5+4.5)*E6/100+(F5+4.5)*F6/100+(G5+4.5)*G6/100+(H5+4.5)*H6/100+(I5+4.5)*I6/100+(J5+4.5)*J6/100+(K5+4.5)*K6/100+(L5+4.5)*L6/100)</f>
        <v>0</v>
      </c>
      <c r="O6" s="47"/>
      <c r="P6" s="53">
        <f>SUM((N6*O6)%+N6)/54.5</f>
        <v>0</v>
      </c>
    </row>
    <row r="7" spans="1:20" x14ac:dyDescent="0.25">
      <c r="A7" s="127"/>
      <c r="B7" s="128"/>
      <c r="C7" s="7"/>
      <c r="D7" s="7"/>
      <c r="E7" s="7"/>
      <c r="F7" s="7"/>
      <c r="G7" s="7"/>
      <c r="H7" s="7"/>
      <c r="I7" s="7"/>
      <c r="J7" s="7"/>
      <c r="K7" s="7"/>
      <c r="L7" s="7"/>
      <c r="M7" s="5">
        <f t="shared" ref="M7:M17" si="0">SUM(C7:L7)</f>
        <v>0</v>
      </c>
      <c r="N7" s="8">
        <f>SUM((C5+4.5)*C7/100+(D5+4.5)*D7/100+(E5+4.5)*E7/100+(F5+4.5)*F7/100+(G5+4.5)*G7/100+(H5+4.5)*H7/100+(I5+4.5)*I7/100+(J5+4.5)*J7/100+(K5+4.5)*K7/100+(L5+4.5)*L7/100)</f>
        <v>0</v>
      </c>
      <c r="O7" s="47"/>
      <c r="P7" s="53">
        <f t="shared" ref="P7:P17" si="1">SUM((N7*O7)%+N7)/54.5</f>
        <v>0</v>
      </c>
      <c r="Q7" s="120" t="s">
        <v>46</v>
      </c>
      <c r="R7" s="120"/>
      <c r="S7" s="132" t="s">
        <v>58</v>
      </c>
      <c r="T7" s="132"/>
    </row>
    <row r="8" spans="1:20" x14ac:dyDescent="0.25">
      <c r="A8" s="127"/>
      <c r="B8" s="128"/>
      <c r="C8" s="7"/>
      <c r="D8" s="7"/>
      <c r="E8" s="7"/>
      <c r="F8" s="7"/>
      <c r="G8" s="7"/>
      <c r="H8" s="7"/>
      <c r="I8" s="7"/>
      <c r="J8" s="7"/>
      <c r="K8" s="7"/>
      <c r="L8" s="7"/>
      <c r="M8" s="5">
        <f t="shared" si="0"/>
        <v>0</v>
      </c>
      <c r="N8" s="8">
        <f>SUM((C5+4.5)*C8/100+(D5+4.5)*D8/100+(E5+4.5)*E8/100+(F5+4.5)*F8/100+(G5+4.5)*G8/100+(H5+4.5)*H8/100+(I5+4.5)*I8/100+(J5+4.5)*J8/100+(K5+4.5)*K8/100+(L5+4.5)*L8/100)</f>
        <v>0</v>
      </c>
      <c r="O8" s="47"/>
      <c r="P8" s="53">
        <f t="shared" si="1"/>
        <v>0</v>
      </c>
      <c r="Q8" s="120"/>
      <c r="R8" s="120"/>
      <c r="S8" s="59">
        <f>M18</f>
        <v>0</v>
      </c>
      <c r="T8" s="60">
        <f>S8/900</f>
        <v>0</v>
      </c>
    </row>
    <row r="9" spans="1:20" x14ac:dyDescent="0.25">
      <c r="A9" s="127"/>
      <c r="B9" s="128"/>
      <c r="C9" s="7"/>
      <c r="D9" s="7"/>
      <c r="E9" s="7"/>
      <c r="F9" s="7"/>
      <c r="G9" s="7"/>
      <c r="H9" s="7"/>
      <c r="I9" s="7"/>
      <c r="J9" s="7"/>
      <c r="K9" s="7"/>
      <c r="L9" s="7"/>
      <c r="M9" s="5">
        <f t="shared" si="0"/>
        <v>0</v>
      </c>
      <c r="N9" s="8">
        <f>SUM((C5+4.5)*C9/100+(D5+4.5)*D9/100+(E5+4.5)*E9/100+(F5+4.5)*F9/100+(G5+4.5)*G9/100+(H5+4.5)*H9/100+(I5+4.5)*I9/100+(J5+4.5)*J9/100+(K5+4.5)*K9/100+(L5+4.5)*L9/100)</f>
        <v>0</v>
      </c>
      <c r="O9" s="47"/>
      <c r="P9" s="53">
        <f t="shared" si="1"/>
        <v>0</v>
      </c>
      <c r="Q9" s="120"/>
      <c r="R9" s="120"/>
    </row>
    <row r="10" spans="1:20" x14ac:dyDescent="0.25">
      <c r="A10" s="127"/>
      <c r="B10" s="128"/>
      <c r="C10" s="7"/>
      <c r="D10" s="7"/>
      <c r="E10" s="7"/>
      <c r="F10" s="7"/>
      <c r="G10" s="7"/>
      <c r="H10" s="7"/>
      <c r="I10" s="7"/>
      <c r="J10" s="7"/>
      <c r="K10" s="7"/>
      <c r="L10" s="7"/>
      <c r="M10" s="5">
        <f t="shared" si="0"/>
        <v>0</v>
      </c>
      <c r="N10" s="8">
        <f>SUM((C5+4.5)*C10/100+(D5+4.5)*D10/100+(E5+4.5)*E10/100+(F5+4.5)*F10/100+(G5+4.5)*G10/100+(H5+4.5)*H10/100+(I5+4.5)*I10/100+(J5+4.5)*J10/100+(K5+4.5)*K10/100+(L5+4.5)*L10/100)</f>
        <v>0</v>
      </c>
      <c r="O10" s="47"/>
      <c r="P10" s="53">
        <f t="shared" si="1"/>
        <v>0</v>
      </c>
      <c r="Q10" s="120"/>
      <c r="R10" s="120"/>
    </row>
    <row r="11" spans="1:20" x14ac:dyDescent="0.25">
      <c r="A11" s="127"/>
      <c r="B11" s="128"/>
      <c r="C11" s="7"/>
      <c r="D11" s="7"/>
      <c r="E11" s="7"/>
      <c r="F11" s="7"/>
      <c r="G11" s="7"/>
      <c r="H11" s="7"/>
      <c r="I11" s="7"/>
      <c r="J11" s="7"/>
      <c r="K11" s="7"/>
      <c r="L11" s="7"/>
      <c r="M11" s="5">
        <f t="shared" si="0"/>
        <v>0</v>
      </c>
      <c r="N11" s="8">
        <f>SUM((C5+4.5)*C11/100+(D5+4.5)*D11/100+(E5+4.5)*E11/100+(F5+4.5)*F11/100+(G5+4.5)*G11/100+(H5+4.5)*H11/100+(I5+4.5)*I11/100+(J5+4.5)*J11/100+(K5+4.5)*K11/100+(L5+4.5)*L11/100)</f>
        <v>0</v>
      </c>
      <c r="O11" s="47"/>
      <c r="P11" s="53">
        <f t="shared" si="1"/>
        <v>0</v>
      </c>
      <c r="Q11" s="120"/>
      <c r="R11" s="120"/>
    </row>
    <row r="12" spans="1:20" x14ac:dyDescent="0.25">
      <c r="A12" s="127"/>
      <c r="B12" s="128"/>
      <c r="C12" s="7"/>
      <c r="D12" s="7"/>
      <c r="E12" s="7"/>
      <c r="F12" s="7"/>
      <c r="G12" s="7"/>
      <c r="H12" s="7"/>
      <c r="I12" s="7"/>
      <c r="J12" s="7"/>
      <c r="K12" s="7"/>
      <c r="L12" s="7"/>
      <c r="M12" s="5">
        <f t="shared" si="0"/>
        <v>0</v>
      </c>
      <c r="N12" s="8">
        <f>SUM((C5+4.5)*C12/100+(D5+4.5)*D12/100+(E5+4.5)*E12/100+(F5+4.5)*F12/100+(G5+4.5)*G12/100+(H5+4.5)*H12/100+(I5+4.5)*I12/100+(J5+4.5)*J12/100+(K5+4.5)*K12/100+(L5+4.5)*L12/100)</f>
        <v>0</v>
      </c>
      <c r="O12" s="47"/>
      <c r="P12" s="53">
        <f t="shared" si="1"/>
        <v>0</v>
      </c>
      <c r="S12" s="85" t="s">
        <v>80</v>
      </c>
      <c r="T12" s="85"/>
    </row>
    <row r="13" spans="1:20" x14ac:dyDescent="0.25">
      <c r="A13" s="127"/>
      <c r="B13" s="128"/>
      <c r="C13" s="7"/>
      <c r="D13" s="7"/>
      <c r="E13" s="7"/>
      <c r="F13" s="7"/>
      <c r="G13" s="7"/>
      <c r="H13" s="7"/>
      <c r="I13" s="7"/>
      <c r="J13" s="7"/>
      <c r="K13" s="7"/>
      <c r="L13" s="7"/>
      <c r="M13" s="5">
        <f t="shared" si="0"/>
        <v>0</v>
      </c>
      <c r="N13" s="8">
        <f>SUM((C5+4.5)*C13/100+(D5+4.5)*D13/100+(E5+4.5)*E13/100+(F5+4.5)*F13/100+(G5+4.5)*G13/100+(H5+4.5)*H13/100+(I5+4.5)*I13/100+(J5+4.5)*J13/100+(K5+4.5)*K13/100+(L5+4.5)*L13/100)</f>
        <v>0</v>
      </c>
      <c r="O13" s="47"/>
      <c r="P13" s="53">
        <f t="shared" si="1"/>
        <v>0</v>
      </c>
      <c r="S13" s="86">
        <f>M18</f>
        <v>0</v>
      </c>
      <c r="T13" s="87">
        <f>SUM(S13*0.074)/1000</f>
        <v>0</v>
      </c>
    </row>
    <row r="14" spans="1:20" x14ac:dyDescent="0.25">
      <c r="A14" s="127"/>
      <c r="B14" s="128"/>
      <c r="C14" s="7"/>
      <c r="D14" s="7"/>
      <c r="E14" s="7"/>
      <c r="F14" s="7"/>
      <c r="G14" s="7"/>
      <c r="H14" s="7"/>
      <c r="I14" s="7"/>
      <c r="J14" s="7"/>
      <c r="K14" s="7"/>
      <c r="L14" s="7"/>
      <c r="M14" s="5">
        <f t="shared" si="0"/>
        <v>0</v>
      </c>
      <c r="N14" s="8">
        <f>SUM((C5+4.5)*C14/100+(D5+4.5)*D14/100+(E5+4.5)*E14/100+(F5+4.5)*F14/100+(G5+4.5)*G14/100+(H5+4.5)*H14/100+(I5+4.5)*I14/100+(J5+4.5)*J14/100+(K5+4.5)*K14/100+(L5+4.5)*L14/100)</f>
        <v>0</v>
      </c>
      <c r="O14" s="47"/>
      <c r="P14" s="53">
        <f t="shared" si="1"/>
        <v>0</v>
      </c>
    </row>
    <row r="15" spans="1:20" x14ac:dyDescent="0.25">
      <c r="A15" s="127"/>
      <c r="B15" s="128"/>
      <c r="C15" s="7"/>
      <c r="D15" s="7"/>
      <c r="E15" s="7"/>
      <c r="F15" s="7"/>
      <c r="G15" s="7"/>
      <c r="H15" s="7"/>
      <c r="I15" s="7"/>
      <c r="J15" s="7"/>
      <c r="K15" s="7"/>
      <c r="L15" s="7"/>
      <c r="M15" s="5">
        <f t="shared" si="0"/>
        <v>0</v>
      </c>
      <c r="N15" s="8">
        <f>SUM((C5+4.5)*C15/100+(D5+4.5)*D15/100+(E5+4.5)*E15/100+(F5+4.5)*F15/100+(G5+4.5)*G15/100+(H5+4.5)*H15/100+(I5+4.5)*I15/100+(J5+4.5)*J15/100+(K5+4.5)*K15/100+(L5+4.5)*L15/100)</f>
        <v>0</v>
      </c>
      <c r="O15" s="47"/>
      <c r="P15" s="53">
        <f t="shared" si="1"/>
        <v>0</v>
      </c>
    </row>
    <row r="16" spans="1:20" x14ac:dyDescent="0.25">
      <c r="A16" s="127"/>
      <c r="B16" s="128"/>
      <c r="C16" s="7"/>
      <c r="D16" s="7"/>
      <c r="E16" s="7"/>
      <c r="F16" s="7"/>
      <c r="G16" s="7"/>
      <c r="H16" s="7"/>
      <c r="I16" s="7"/>
      <c r="J16" s="7"/>
      <c r="K16" s="7"/>
      <c r="L16" s="7"/>
      <c r="M16" s="5">
        <f t="shared" si="0"/>
        <v>0</v>
      </c>
      <c r="N16" s="8">
        <f>SUM((C5+4.5)*C16/100+(D5+4.5)*D16/100+(E5+4.5)*E16/100+(F5+4.5)*F16/100+(G5+4.5)*G16/100+(H5+4.5)*H16/100+(I5+4.5)*I16/100+(J5+4.5)*J16/100+(K5+4.5)*K16/100+(L5+4.5)*L16/100)</f>
        <v>0</v>
      </c>
      <c r="O16" s="47"/>
      <c r="P16" s="53">
        <f t="shared" si="1"/>
        <v>0</v>
      </c>
    </row>
    <row r="17" spans="1:20" ht="15.75" thickBot="1" x14ac:dyDescent="0.3">
      <c r="A17" s="127"/>
      <c r="B17" s="128"/>
      <c r="C17" s="7"/>
      <c r="D17" s="7"/>
      <c r="E17" s="7"/>
      <c r="F17" s="7"/>
      <c r="G17" s="7"/>
      <c r="H17" s="7"/>
      <c r="I17" s="7"/>
      <c r="J17" s="7"/>
      <c r="K17" s="7"/>
      <c r="L17" s="7"/>
      <c r="M17" s="5">
        <f t="shared" si="0"/>
        <v>0</v>
      </c>
      <c r="N17" s="8">
        <f>SUM((C5+4.5)*C17/100+(D5+4.5)*D17/100+(E5+4.5)*E17/100+(F5+4.5)*F17/100+(G5+4.5)*G17/100+(H5+4.5)*H17/100+(I5+4.5)*I17/100+(J5+4.5)*J17/100+(K5+4.5)*K17/100+(L5+4.5)*L17/100)</f>
        <v>0</v>
      </c>
      <c r="O17" s="47"/>
      <c r="P17" s="53">
        <f t="shared" si="1"/>
        <v>0</v>
      </c>
    </row>
    <row r="18" spans="1:20" x14ac:dyDescent="0.25">
      <c r="A18" s="127"/>
      <c r="B18" s="128"/>
      <c r="C18" s="106">
        <f>SUM(C6:C17)</f>
        <v>0</v>
      </c>
      <c r="D18" s="106">
        <f t="shared" ref="D18:M18" si="2">SUM(D6:D17)</f>
        <v>0</v>
      </c>
      <c r="E18" s="106">
        <f t="shared" si="2"/>
        <v>0</v>
      </c>
      <c r="F18" s="106">
        <f t="shared" si="2"/>
        <v>0</v>
      </c>
      <c r="G18" s="106">
        <f t="shared" si="2"/>
        <v>0</v>
      </c>
      <c r="H18" s="106">
        <f t="shared" si="2"/>
        <v>0</v>
      </c>
      <c r="I18" s="106">
        <f t="shared" si="2"/>
        <v>0</v>
      </c>
      <c r="J18" s="106">
        <f t="shared" si="2"/>
        <v>0</v>
      </c>
      <c r="K18" s="106">
        <f t="shared" si="2"/>
        <v>0</v>
      </c>
      <c r="L18" s="106">
        <f t="shared" si="2"/>
        <v>0</v>
      </c>
      <c r="M18" s="106">
        <f t="shared" si="2"/>
        <v>0</v>
      </c>
      <c r="N18" s="4"/>
      <c r="O18" s="115" t="s">
        <v>56</v>
      </c>
      <c r="P18" s="113">
        <f>SUM(P6:P17)</f>
        <v>0</v>
      </c>
    </row>
    <row r="19" spans="1:20" ht="15.75" thickBot="1" x14ac:dyDescent="0.3">
      <c r="A19" s="129"/>
      <c r="B19" s="130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4"/>
      <c r="O19" s="115"/>
      <c r="P19" s="131"/>
    </row>
    <row r="20" spans="1:20" ht="15.75" thickBot="1" x14ac:dyDescent="0.3"/>
    <row r="21" spans="1:20" x14ac:dyDescent="0.25">
      <c r="F21" s="107" t="s">
        <v>15</v>
      </c>
      <c r="G21" s="108"/>
      <c r="H21" s="109"/>
    </row>
    <row r="22" spans="1:20" ht="15.75" thickBot="1" x14ac:dyDescent="0.3">
      <c r="F22" s="110"/>
      <c r="G22" s="111"/>
      <c r="H22" s="112"/>
    </row>
    <row r="23" spans="1:20" x14ac:dyDescent="0.25">
      <c r="Q23" s="119" t="s">
        <v>57</v>
      </c>
      <c r="R23" s="119"/>
      <c r="S23" s="133" t="s">
        <v>81</v>
      </c>
      <c r="T23" s="134"/>
    </row>
    <row r="24" spans="1:20" x14ac:dyDescent="0.25">
      <c r="A24" s="124" t="s">
        <v>16</v>
      </c>
      <c r="B24" s="124"/>
      <c r="C24" s="6" t="s">
        <v>0</v>
      </c>
      <c r="D24" s="102"/>
      <c r="E24" s="103"/>
      <c r="F24" s="103"/>
      <c r="G24" s="103"/>
      <c r="H24" s="103"/>
      <c r="I24" s="103"/>
      <c r="J24" s="103"/>
      <c r="K24" s="103"/>
      <c r="L24" s="105"/>
      <c r="M24" s="3"/>
      <c r="N24" s="2" t="s">
        <v>1</v>
      </c>
      <c r="O24" s="46"/>
      <c r="Q24" s="40">
        <f>M38</f>
        <v>0</v>
      </c>
      <c r="R24" s="43">
        <f>Q24*0.04/1000</f>
        <v>0</v>
      </c>
      <c r="S24" s="89">
        <f>M38</f>
        <v>0</v>
      </c>
      <c r="T24" s="89">
        <f>S24/7700*100</f>
        <v>0</v>
      </c>
    </row>
    <row r="25" spans="1:20" x14ac:dyDescent="0.25">
      <c r="A25" s="124"/>
      <c r="B25" s="124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1" t="s">
        <v>2</v>
      </c>
      <c r="N25" s="2" t="s">
        <v>3</v>
      </c>
      <c r="O25" s="50" t="s">
        <v>55</v>
      </c>
      <c r="P25" s="54" t="s">
        <v>53</v>
      </c>
      <c r="S25" s="89">
        <f>M38</f>
        <v>0</v>
      </c>
      <c r="T25" s="89">
        <f>S25/8600*100</f>
        <v>0</v>
      </c>
    </row>
    <row r="26" spans="1:20" x14ac:dyDescent="0.25">
      <c r="A26" s="96" t="s">
        <v>31</v>
      </c>
      <c r="B26" s="97"/>
      <c r="C26" s="7"/>
      <c r="D26" s="7"/>
      <c r="E26" s="7"/>
      <c r="F26" s="7"/>
      <c r="G26" s="7"/>
      <c r="H26" s="7"/>
      <c r="I26" s="7"/>
      <c r="J26" s="7"/>
      <c r="K26" s="7"/>
      <c r="L26" s="7"/>
      <c r="M26" s="5">
        <f>SUM(C26:L26)</f>
        <v>0</v>
      </c>
      <c r="N26" s="8">
        <f>SUM((C25+1.78)*C26/39.37+(D25+1.78)*D26/39.37+(E25+1.78)*E26/39.37+(F25+1.78)*F26/39.37+(G25+1.78)*G26/39.37+(H25+1.78)*H26/39.37+(I25+1.78)*I26/39.37+(J25+1.78)*J26/39.37+(K25+1.78)*K26/39.37+(L25+1.78)*L26/39.37)</f>
        <v>0</v>
      </c>
      <c r="O26" s="47"/>
      <c r="P26" s="55">
        <f>SUM((N26*O26)%+N26)/54.5</f>
        <v>0</v>
      </c>
      <c r="Q26" s="135" t="s">
        <v>59</v>
      </c>
      <c r="R26" s="136"/>
      <c r="S26" s="90"/>
      <c r="T26" s="89">
        <f>SUM(T24:T25)</f>
        <v>0</v>
      </c>
    </row>
    <row r="27" spans="1:20" x14ac:dyDescent="0.25">
      <c r="A27" s="98"/>
      <c r="B27" s="99"/>
      <c r="C27" s="7"/>
      <c r="D27" s="7"/>
      <c r="E27" s="7"/>
      <c r="F27" s="7"/>
      <c r="G27" s="7"/>
      <c r="H27" s="7"/>
      <c r="I27" s="7"/>
      <c r="J27" s="7"/>
      <c r="K27" s="7"/>
      <c r="L27" s="7"/>
      <c r="M27" s="5">
        <f t="shared" ref="M27:M37" si="3">SUM(C27:L27)</f>
        <v>0</v>
      </c>
      <c r="N27" s="8">
        <f>(C25+1.78)*C27/39.37+(D25+1.78)*D27/39.37+(E25+1.78)*E27/39.37+(F25+1.78)*F27/39.37+(G25+1.78)*G27/39.37+(H25+1.78)*H27/39.37+(I25+1.78)*I27/39.37+(J25+1.78)*J27/39.37+(K25+1.78)*K27/39.37+(L25+1.78)*L27/39.37</f>
        <v>0</v>
      </c>
      <c r="O27" s="47"/>
      <c r="P27" s="55">
        <f t="shared" ref="P27:P37" si="4">SUM((N27*O27)%+N27)/54.5</f>
        <v>0</v>
      </c>
      <c r="Q27" s="40">
        <f>M38</f>
        <v>0</v>
      </c>
      <c r="R27" s="43">
        <f>Q27*0.04/1000</f>
        <v>0</v>
      </c>
    </row>
    <row r="28" spans="1:20" x14ac:dyDescent="0.25">
      <c r="A28" s="98"/>
      <c r="B28" s="99"/>
      <c r="C28" s="7"/>
      <c r="D28" s="7"/>
      <c r="E28" s="7"/>
      <c r="F28" s="7"/>
      <c r="G28" s="7"/>
      <c r="H28" s="7"/>
      <c r="I28" s="7"/>
      <c r="J28" s="7"/>
      <c r="K28" s="7"/>
      <c r="L28" s="7"/>
      <c r="M28" s="5">
        <f t="shared" si="3"/>
        <v>0</v>
      </c>
      <c r="N28" s="8">
        <f>(C25+1.78)*C28/39.37+(D25+1.78)*D28/39.37+(E25+1.78)*E28/39.37+(F25+1.78)*F28/39.37+(G25+1.78)*G28/39.37+(H25+1.78)*H28/39.37+(I25+1.78)*I28/39.37+(J25+1.78)*J28/39.37+(K25+1.78)*K28/39.37+(L25+1.78)*L28/39.37</f>
        <v>0</v>
      </c>
      <c r="O28" s="47"/>
      <c r="P28" s="55">
        <f t="shared" si="4"/>
        <v>0</v>
      </c>
      <c r="Q28" s="120" t="s">
        <v>47</v>
      </c>
      <c r="R28" s="120"/>
      <c r="S28" s="132" t="s">
        <v>58</v>
      </c>
      <c r="T28" s="132"/>
    </row>
    <row r="29" spans="1:20" x14ac:dyDescent="0.25">
      <c r="A29" s="98"/>
      <c r="B29" s="99"/>
      <c r="C29" s="7"/>
      <c r="D29" s="7"/>
      <c r="E29" s="7"/>
      <c r="F29" s="7"/>
      <c r="G29" s="7"/>
      <c r="H29" s="7"/>
      <c r="I29" s="7"/>
      <c r="J29" s="7"/>
      <c r="K29" s="7"/>
      <c r="L29" s="7"/>
      <c r="M29" s="5">
        <f t="shared" si="3"/>
        <v>0</v>
      </c>
      <c r="N29" s="8">
        <f>(C25+1.78)*C29/39.37+(D25+1.78)*D29/39.37+(E25+1.78)*E29/39.37+(F25+1.78)*F29/39.37+(G25+1.78)*G29/39.37+(H25+1.78)*H29/39.37+(I25+1.78)*I29/39.37+(J25+1.78)*J29/39.37+(K25+1.78)*K29/39.37+(L25+1.78)*L29/39.37</f>
        <v>0</v>
      </c>
      <c r="O29" s="47"/>
      <c r="P29" s="55">
        <f t="shared" si="4"/>
        <v>0</v>
      </c>
      <c r="Q29" s="120"/>
      <c r="R29" s="120"/>
      <c r="S29" s="59">
        <f>M38</f>
        <v>0</v>
      </c>
      <c r="T29" s="60">
        <f>S29/900</f>
        <v>0</v>
      </c>
    </row>
    <row r="30" spans="1:20" x14ac:dyDescent="0.25">
      <c r="A30" s="98"/>
      <c r="B30" s="99"/>
      <c r="C30" s="7"/>
      <c r="D30" s="7"/>
      <c r="E30" s="7"/>
      <c r="F30" s="7"/>
      <c r="G30" s="7"/>
      <c r="H30" s="7"/>
      <c r="I30" s="7"/>
      <c r="J30" s="7"/>
      <c r="K30" s="7"/>
      <c r="L30" s="7"/>
      <c r="M30" s="5">
        <f t="shared" si="3"/>
        <v>0</v>
      </c>
      <c r="N30" s="8">
        <f>(C25+1.78)*C30/39.37+(D25+1.78)*D30/39.37+(E25+1.78)*E30/39.37+(F25+1.78)*F30/39.37+(G25+1.78)*G30/39.37+(H25+1.78)*H30/39.37+(I25+1.78)*I30/39.37+(J25+1.78)*J30/39.37+(K25+1.78)*K30/39.37+(L25+1.78)*L30/39.37</f>
        <v>0</v>
      </c>
      <c r="O30" s="47"/>
      <c r="P30" s="55">
        <f t="shared" si="4"/>
        <v>0</v>
      </c>
      <c r="Q30" s="120"/>
      <c r="R30" s="120"/>
    </row>
    <row r="31" spans="1:20" x14ac:dyDescent="0.25">
      <c r="A31" s="98"/>
      <c r="B31" s="99"/>
      <c r="C31" s="7"/>
      <c r="D31" s="7"/>
      <c r="E31" s="7"/>
      <c r="F31" s="7"/>
      <c r="G31" s="7"/>
      <c r="H31" s="7"/>
      <c r="I31" s="7"/>
      <c r="J31" s="7"/>
      <c r="K31" s="7"/>
      <c r="L31" s="7"/>
      <c r="M31" s="5">
        <f t="shared" si="3"/>
        <v>0</v>
      </c>
      <c r="N31" s="8">
        <f>(C25+1.78)*C31/39.37+(D25+1.78)*D31/39.37+(E25+1.78)*E31/39.37+(F25+1.78)*F31/39.37+(G25+1.78)*G31/39.37+(H25+1.78)*H31/39.37+(I25+1.78)*I31/39.37+(J25+1.78)*J31/39.37+(K25+1.78)*K31/39.37+(L25+1.78)*L31/39.37</f>
        <v>0</v>
      </c>
      <c r="O31" s="47"/>
      <c r="P31" s="55">
        <f t="shared" si="4"/>
        <v>0</v>
      </c>
      <c r="Q31" s="120"/>
      <c r="R31" s="120"/>
    </row>
    <row r="32" spans="1:20" x14ac:dyDescent="0.25">
      <c r="A32" s="98"/>
      <c r="B32" s="99"/>
      <c r="C32" s="7"/>
      <c r="D32" s="7"/>
      <c r="E32" s="7"/>
      <c r="F32" s="7"/>
      <c r="G32" s="7"/>
      <c r="H32" s="7"/>
      <c r="I32" s="7"/>
      <c r="J32" s="7"/>
      <c r="K32" s="7"/>
      <c r="L32" s="7"/>
      <c r="M32" s="5">
        <f t="shared" si="3"/>
        <v>0</v>
      </c>
      <c r="N32" s="8">
        <f>(C25+1.78)*C32/39.37+(D25+1.78)*D32/39.37+(E25+1.78)*E32/39.37+(F25+1.78)*F32/39.37+(G25+1.78)*G32/39.37+(H25+1.78)*H32/39.37+(I25+1.78)*I32/39.37+(J25+1.78)*J32/39.37+(K25+1.78)*K32/39.37+(L25+1.78)*L32/39.37</f>
        <v>0</v>
      </c>
      <c r="O32" s="47"/>
      <c r="P32" s="55">
        <f t="shared" si="4"/>
        <v>0</v>
      </c>
      <c r="Q32" s="120"/>
      <c r="R32" s="120"/>
    </row>
    <row r="33" spans="1:20" x14ac:dyDescent="0.25">
      <c r="A33" s="98"/>
      <c r="B33" s="99"/>
      <c r="C33" s="7"/>
      <c r="D33" s="7"/>
      <c r="E33" s="7"/>
      <c r="F33" s="7"/>
      <c r="G33" s="7"/>
      <c r="H33" s="7"/>
      <c r="I33" s="7"/>
      <c r="J33" s="7"/>
      <c r="K33" s="7"/>
      <c r="L33" s="7"/>
      <c r="M33" s="5">
        <f t="shared" si="3"/>
        <v>0</v>
      </c>
      <c r="N33" s="8">
        <f>(C25+1.78)*C33/39.37+(D25+1.78)*D33/39.37+(E25+1.78)*E33/39.37+(F25+1.78)*F33/39.37+(G25+1.78)*G33/39.37+(H25+1.78)*H33/39.37+(I25+1.78)*I33/39.37+(J25+1.78)*J33/39.37+(K25+1.78)*K33/39.37+(L25+1.78)*L33/39.37</f>
        <v>0</v>
      </c>
      <c r="O33" s="47"/>
      <c r="P33" s="55">
        <f t="shared" si="4"/>
        <v>0</v>
      </c>
      <c r="S33" s="85" t="s">
        <v>80</v>
      </c>
      <c r="T33" s="85"/>
    </row>
    <row r="34" spans="1:20" x14ac:dyDescent="0.25">
      <c r="A34" s="98"/>
      <c r="B34" s="99"/>
      <c r="C34" s="7"/>
      <c r="D34" s="7"/>
      <c r="E34" s="7"/>
      <c r="F34" s="7"/>
      <c r="G34" s="7"/>
      <c r="H34" s="7"/>
      <c r="I34" s="7"/>
      <c r="J34" s="7"/>
      <c r="K34" s="7"/>
      <c r="L34" s="7"/>
      <c r="M34" s="5">
        <f t="shared" si="3"/>
        <v>0</v>
      </c>
      <c r="N34" s="8">
        <f>(C25+1.78)*C34/39.37+(D25+1.78)*D34/39.37+(E25+1.78)*E34/39.37+(F25+1.78)*F34/39.37+(G25+1.78)*G34/39.37+(H25+1.78)*H34/39.37+(I25+1.78)*I34/39.37+(J25+1.78)*J34/39.37+(K25+1.78)*K34/39.37+(L25+1.78)*L34/39.37</f>
        <v>0</v>
      </c>
      <c r="O34" s="47"/>
      <c r="P34" s="55">
        <f t="shared" si="4"/>
        <v>0</v>
      </c>
      <c r="S34" s="86">
        <f>M38</f>
        <v>0</v>
      </c>
      <c r="T34" s="87">
        <f>SUM(S34*0.074)/1000</f>
        <v>0</v>
      </c>
    </row>
    <row r="35" spans="1:20" x14ac:dyDescent="0.25">
      <c r="A35" s="98"/>
      <c r="B35" s="99"/>
      <c r="C35" s="7"/>
      <c r="D35" s="7"/>
      <c r="E35" s="7"/>
      <c r="F35" s="7"/>
      <c r="G35" s="7"/>
      <c r="H35" s="7"/>
      <c r="I35" s="7"/>
      <c r="J35" s="7"/>
      <c r="K35" s="7"/>
      <c r="L35" s="7"/>
      <c r="M35" s="5">
        <f t="shared" si="3"/>
        <v>0</v>
      </c>
      <c r="N35" s="8">
        <f>(C25+1.78)*C35/39.37+(D25+1.78)*D35/39.37+(E25+1.78)*E35/39.37+(F25+1.78)*F35/39.37+(G25+1.78)*G35/39.37+(H25+1.78)*H35/39.37+(I25+1.78)*I35/39.37+(J25+1.78)*J35/39.37+(K25+1.78)*K35/39.37+(L25+1.78)*L35/39.37</f>
        <v>0</v>
      </c>
      <c r="O35" s="47"/>
      <c r="P35" s="55">
        <f t="shared" si="4"/>
        <v>0</v>
      </c>
    </row>
    <row r="36" spans="1:20" x14ac:dyDescent="0.25">
      <c r="A36" s="98"/>
      <c r="B36" s="99"/>
      <c r="C36" s="7"/>
      <c r="D36" s="7"/>
      <c r="E36" s="7"/>
      <c r="F36" s="7"/>
      <c r="G36" s="7"/>
      <c r="H36" s="7"/>
      <c r="I36" s="7"/>
      <c r="J36" s="7"/>
      <c r="K36" s="7"/>
      <c r="L36" s="7"/>
      <c r="M36" s="5">
        <f t="shared" si="3"/>
        <v>0</v>
      </c>
      <c r="N36" s="8">
        <f>(C25+1.78)*C36/39.37+(D25+1.78)*D36/39.37+(E25+1.78)*E36/39.37+(F25+1.78)*F36/39.37+(G25+1.78)*G36/39.37+(H25+1.78)*H36/39.37+(I25+1.78)*I36/39.37+(J25+1.78)*J36/39.37+(K25+1.78)*K36/39.37+(L25+1.78)*L36/39.37</f>
        <v>0</v>
      </c>
      <c r="O36" s="47"/>
      <c r="P36" s="55">
        <f t="shared" si="4"/>
        <v>0</v>
      </c>
    </row>
    <row r="37" spans="1:20" ht="15.75" thickBot="1" x14ac:dyDescent="0.3">
      <c r="A37" s="98"/>
      <c r="B37" s="99"/>
      <c r="C37" s="7"/>
      <c r="D37" s="7"/>
      <c r="E37" s="7"/>
      <c r="F37" s="7"/>
      <c r="G37" s="7"/>
      <c r="H37" s="7"/>
      <c r="I37" s="7"/>
      <c r="J37" s="7"/>
      <c r="K37" s="7"/>
      <c r="L37" s="7"/>
      <c r="M37" s="5">
        <f t="shared" si="3"/>
        <v>0</v>
      </c>
      <c r="N37" s="8">
        <f>(C25+1.78)*C37/39.37+(D25+1.78)*D37/39.37+(E25+1.78)*E37/39.37+(F25+1.78)*F37/39.37+(G25+1.78)*G37/39.37+(H25+1.78)*H37/39.37+(I25+1.78)*I37/39.37+(J25+1.78)*J37/39.37+(K25+1.78)*K37/39.37+(L25+1.78)*L37/39.37</f>
        <v>0</v>
      </c>
      <c r="O37" s="47"/>
      <c r="P37" s="55">
        <f t="shared" si="4"/>
        <v>0</v>
      </c>
    </row>
    <row r="38" spans="1:20" x14ac:dyDescent="0.25">
      <c r="A38" s="98"/>
      <c r="B38" s="99"/>
      <c r="C38" s="106">
        <f>SUM(C26:C37)</f>
        <v>0</v>
      </c>
      <c r="D38" s="106">
        <f t="shared" ref="D38:M38" si="5">SUM(D26:D37)</f>
        <v>0</v>
      </c>
      <c r="E38" s="106">
        <f t="shared" si="5"/>
        <v>0</v>
      </c>
      <c r="F38" s="106">
        <f t="shared" si="5"/>
        <v>0</v>
      </c>
      <c r="G38" s="106">
        <f t="shared" si="5"/>
        <v>0</v>
      </c>
      <c r="H38" s="106">
        <f t="shared" si="5"/>
        <v>0</v>
      </c>
      <c r="I38" s="106">
        <f t="shared" si="5"/>
        <v>0</v>
      </c>
      <c r="J38" s="106">
        <f t="shared" si="5"/>
        <v>0</v>
      </c>
      <c r="K38" s="106">
        <f t="shared" si="5"/>
        <v>0</v>
      </c>
      <c r="L38" s="106">
        <f t="shared" si="5"/>
        <v>0</v>
      </c>
      <c r="M38" s="106">
        <f t="shared" si="5"/>
        <v>0</v>
      </c>
      <c r="N38" s="4"/>
      <c r="O38" s="115" t="s">
        <v>56</v>
      </c>
      <c r="P38" s="113">
        <f>SUM(P26:P37)</f>
        <v>0</v>
      </c>
    </row>
    <row r="39" spans="1:20" ht="15.75" thickBot="1" x14ac:dyDescent="0.3">
      <c r="A39" s="100"/>
      <c r="B39" s="101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4"/>
      <c r="O39" s="115"/>
      <c r="P39" s="131"/>
    </row>
  </sheetData>
  <mergeCells count="44">
    <mergeCell ref="S7:T7"/>
    <mergeCell ref="S28:T28"/>
    <mergeCell ref="S1:T1"/>
    <mergeCell ref="Q4:R4"/>
    <mergeCell ref="Q26:R26"/>
    <mergeCell ref="Q7:R11"/>
    <mergeCell ref="Q28:R32"/>
    <mergeCell ref="Q1:R1"/>
    <mergeCell ref="Q23:R23"/>
    <mergeCell ref="S23:T23"/>
    <mergeCell ref="J38:J39"/>
    <mergeCell ref="K38:K39"/>
    <mergeCell ref="L38:L39"/>
    <mergeCell ref="M38:M39"/>
    <mergeCell ref="P18:P19"/>
    <mergeCell ref="O18:O19"/>
    <mergeCell ref="P38:P39"/>
    <mergeCell ref="O38:O39"/>
    <mergeCell ref="M18:M19"/>
    <mergeCell ref="K18:K19"/>
    <mergeCell ref="L18:L19"/>
    <mergeCell ref="G1:I2"/>
    <mergeCell ref="F21:H22"/>
    <mergeCell ref="F38:F39"/>
    <mergeCell ref="G38:G39"/>
    <mergeCell ref="H38:H39"/>
    <mergeCell ref="I38:I39"/>
    <mergeCell ref="C38:C39"/>
    <mergeCell ref="D38:D39"/>
    <mergeCell ref="E38:E39"/>
    <mergeCell ref="A26:B39"/>
    <mergeCell ref="D18:D19"/>
    <mergeCell ref="E18:E19"/>
    <mergeCell ref="A4:B5"/>
    <mergeCell ref="D4:L4"/>
    <mergeCell ref="A24:B25"/>
    <mergeCell ref="D24:L24"/>
    <mergeCell ref="C18:C19"/>
    <mergeCell ref="A6:B19"/>
    <mergeCell ref="F18:F19"/>
    <mergeCell ref="G18:G19"/>
    <mergeCell ref="H18:H19"/>
    <mergeCell ref="I18:I19"/>
    <mergeCell ref="J18:J19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38"/>
  <sheetViews>
    <sheetView workbookViewId="0">
      <selection activeCell="C4" sqref="C4"/>
    </sheetView>
  </sheetViews>
  <sheetFormatPr defaultRowHeight="15" x14ac:dyDescent="0.25"/>
  <cols>
    <col min="1" max="1" width="7.140625" customWidth="1"/>
    <col min="2" max="2" width="5.140625" customWidth="1"/>
    <col min="14" max="14" width="12.42578125" customWidth="1"/>
    <col min="15" max="15" width="7.5703125" customWidth="1"/>
    <col min="16" max="16" width="11.28515625" customWidth="1"/>
    <col min="17" max="17" width="8.42578125" customWidth="1"/>
    <col min="18" max="18" width="6.28515625" customWidth="1"/>
    <col min="19" max="19" width="13.5703125" customWidth="1"/>
    <col min="20" max="20" width="12.42578125" customWidth="1"/>
  </cols>
  <sheetData>
    <row r="1" spans="1:20" x14ac:dyDescent="0.25">
      <c r="F1" s="107" t="s">
        <v>12</v>
      </c>
      <c r="G1" s="108"/>
      <c r="H1" s="109"/>
    </row>
    <row r="2" spans="1:20" ht="15.75" thickBot="1" x14ac:dyDescent="0.3">
      <c r="F2" s="110"/>
      <c r="G2" s="111"/>
      <c r="H2" s="112"/>
    </row>
    <row r="3" spans="1:20" x14ac:dyDescent="0.25">
      <c r="A3" s="123" t="s">
        <v>17</v>
      </c>
      <c r="B3" s="123"/>
      <c r="C3" s="6" t="s">
        <v>0</v>
      </c>
      <c r="D3" s="102"/>
      <c r="E3" s="103"/>
      <c r="F3" s="103"/>
      <c r="G3" s="103"/>
      <c r="H3" s="103"/>
      <c r="I3" s="103"/>
      <c r="J3" s="103"/>
      <c r="K3" s="103"/>
      <c r="L3" s="105"/>
      <c r="M3" s="3"/>
      <c r="N3" s="2" t="s">
        <v>1</v>
      </c>
      <c r="O3" s="46"/>
      <c r="S3" s="64" t="s">
        <v>60</v>
      </c>
      <c r="T3" s="65"/>
    </row>
    <row r="4" spans="1:20" x14ac:dyDescent="0.25">
      <c r="A4" s="123"/>
      <c r="B4" s="123"/>
      <c r="C4" s="36"/>
      <c r="D4" s="36"/>
      <c r="E4" s="36"/>
      <c r="F4" s="36"/>
      <c r="G4" s="36"/>
      <c r="H4" s="36"/>
      <c r="I4" s="36"/>
      <c r="J4" s="36"/>
      <c r="K4" s="36"/>
      <c r="L4" s="36"/>
      <c r="M4" s="1" t="s">
        <v>2</v>
      </c>
      <c r="N4" s="2" t="s">
        <v>3</v>
      </c>
      <c r="O4" s="50" t="s">
        <v>55</v>
      </c>
      <c r="P4" s="51" t="s">
        <v>53</v>
      </c>
      <c r="S4" s="143" t="s">
        <v>61</v>
      </c>
      <c r="T4" s="143"/>
    </row>
    <row r="5" spans="1:20" x14ac:dyDescent="0.25">
      <c r="A5" s="125" t="s">
        <v>32</v>
      </c>
      <c r="B5" s="126"/>
      <c r="C5" s="7"/>
      <c r="D5" s="7"/>
      <c r="E5" s="7"/>
      <c r="F5" s="7"/>
      <c r="G5" s="7"/>
      <c r="H5" s="7"/>
      <c r="I5" s="7"/>
      <c r="J5" s="7"/>
      <c r="K5" s="7"/>
      <c r="L5" s="7"/>
      <c r="M5" s="5">
        <f>SUM(C5:L5)</f>
        <v>0</v>
      </c>
      <c r="N5" s="8">
        <f>(C4+5)*C5/100+(D4+5)*D5/100+(E4+5)*E5/100+(F4+5)*F5/100+(G4+5)*G5/100+(H4+5)*H5/100+(I4+5)*I5/100+(J4+5)*J5/100+(K4+5)*K5/100+(L4+5)*L5/100</f>
        <v>0</v>
      </c>
      <c r="O5" s="47"/>
      <c r="P5" s="55">
        <f>SUM((N5*O5)%+N5)/101</f>
        <v>0</v>
      </c>
      <c r="S5" s="66" t="s">
        <v>62</v>
      </c>
      <c r="T5" s="67" t="s">
        <v>26</v>
      </c>
    </row>
    <row r="6" spans="1:20" x14ac:dyDescent="0.25">
      <c r="A6" s="127"/>
      <c r="B6" s="128"/>
      <c r="C6" s="7"/>
      <c r="D6" s="7"/>
      <c r="E6" s="7"/>
      <c r="F6" s="7"/>
      <c r="G6" s="7"/>
      <c r="H6" s="7"/>
      <c r="I6" s="7"/>
      <c r="J6" s="7"/>
      <c r="K6" s="7"/>
      <c r="L6" s="7"/>
      <c r="M6" s="5">
        <f t="shared" ref="M6:M16" si="0">SUM(C6:L6)</f>
        <v>0</v>
      </c>
      <c r="N6" s="8">
        <f>SUM((C4+5)*C6/100+(D4+5)*D6/100+(E4+5)*E6/100+(F4+5)*F6/100+(G4+5)*G6/100+(H4+5)*H6/100+(I4+5)*I6/100+(J4+5)*J6/100+(K4+5)*K6/100+(L4+5)*L6/100)</f>
        <v>0</v>
      </c>
      <c r="O6" s="47"/>
      <c r="P6" s="55">
        <f t="shared" ref="P6:P16" si="1">SUM((N6*O6)%+N6)/101</f>
        <v>0</v>
      </c>
      <c r="Q6" s="137" t="s">
        <v>44</v>
      </c>
      <c r="R6" s="137"/>
      <c r="S6" s="68">
        <f>N17</f>
        <v>0</v>
      </c>
      <c r="T6" s="21">
        <f t="shared" ref="T6:T8" si="2">SUM(S6*102.5%*8.15/1000)</f>
        <v>0</v>
      </c>
    </row>
    <row r="7" spans="1:20" x14ac:dyDescent="0.25">
      <c r="A7" s="127"/>
      <c r="B7" s="128"/>
      <c r="C7" s="7"/>
      <c r="D7" s="7"/>
      <c r="E7" s="7"/>
      <c r="F7" s="7"/>
      <c r="G7" s="7"/>
      <c r="H7" s="7"/>
      <c r="I7" s="7"/>
      <c r="J7" s="7"/>
      <c r="K7" s="7"/>
      <c r="L7" s="7"/>
      <c r="M7" s="5">
        <f t="shared" si="0"/>
        <v>0</v>
      </c>
      <c r="N7" s="8">
        <f>SUM((C4+5)*C7/100+(D4+5)*D7/100+(E4+5)*E7/100+(F4+5)*F7/100+(G4+5)*G7/100+(H4+5)*H7/100+(I4+5)*I7/100+(J4+5)*J7/100+(K4+5)*K7/100+(L4+5)*L7/100)</f>
        <v>0</v>
      </c>
      <c r="O7" s="47"/>
      <c r="P7" s="55">
        <f t="shared" si="1"/>
        <v>0</v>
      </c>
      <c r="Q7" s="137"/>
      <c r="R7" s="137"/>
      <c r="S7" s="68">
        <f>N37</f>
        <v>0</v>
      </c>
      <c r="T7" s="21">
        <f t="shared" si="2"/>
        <v>0</v>
      </c>
    </row>
    <row r="8" spans="1:20" ht="15.75" thickBot="1" x14ac:dyDescent="0.3">
      <c r="A8" s="127"/>
      <c r="B8" s="128"/>
      <c r="C8" s="7"/>
      <c r="D8" s="7"/>
      <c r="E8" s="7"/>
      <c r="F8" s="7"/>
      <c r="G8" s="7"/>
      <c r="H8" s="7"/>
      <c r="I8" s="7"/>
      <c r="J8" s="7"/>
      <c r="K8" s="7"/>
      <c r="L8" s="7"/>
      <c r="M8" s="5">
        <f t="shared" si="0"/>
        <v>0</v>
      </c>
      <c r="N8" s="8">
        <f>SUM((C4+5)*C8/100+(D4+5)*D8/100+(E4+5)*E8/100+(F4+5)*F8/100+(G4+5)*G8/100+(H4+5)*H8/100+(I4+5)*I8/100+(J4+5)*J8/100+(K4+5)*K8/100+(L4+5)*L8/100)</f>
        <v>0</v>
      </c>
      <c r="O8" s="47"/>
      <c r="P8" s="55">
        <f t="shared" si="1"/>
        <v>0</v>
      </c>
      <c r="Q8" s="137"/>
      <c r="R8" s="137"/>
      <c r="S8" s="69"/>
      <c r="T8" s="70">
        <f t="shared" si="2"/>
        <v>0</v>
      </c>
    </row>
    <row r="9" spans="1:20" ht="15.75" thickBot="1" x14ac:dyDescent="0.3">
      <c r="A9" s="127"/>
      <c r="B9" s="128"/>
      <c r="C9" s="7"/>
      <c r="D9" s="7"/>
      <c r="E9" s="7"/>
      <c r="F9" s="7"/>
      <c r="G9" s="7"/>
      <c r="H9" s="7"/>
      <c r="I9" s="7"/>
      <c r="J9" s="7"/>
      <c r="K9" s="7"/>
      <c r="L9" s="7"/>
      <c r="M9" s="5">
        <f t="shared" si="0"/>
        <v>0</v>
      </c>
      <c r="N9" s="8">
        <f>SUM((C4+5)*C9/100+(D4+5)*D9/100+(E4+5)*E9/100+(F4+5)*F9/100+(G4+5)*G9/100+(H4+5)*H9/100+(I4+5)*I9/100+(J4+5)*J9/100+(K4+5)*K9/100+(L4+5)*L9/100)</f>
        <v>0</v>
      </c>
      <c r="O9" s="47"/>
      <c r="P9" s="55">
        <f t="shared" si="1"/>
        <v>0</v>
      </c>
      <c r="Q9" s="137"/>
      <c r="R9" s="137"/>
      <c r="S9" s="25"/>
      <c r="T9" s="25"/>
    </row>
    <row r="10" spans="1:20" x14ac:dyDescent="0.25">
      <c r="A10" s="127"/>
      <c r="B10" s="128"/>
      <c r="C10" s="7"/>
      <c r="D10" s="7"/>
      <c r="E10" s="7"/>
      <c r="F10" s="7"/>
      <c r="G10" s="7"/>
      <c r="H10" s="7"/>
      <c r="I10" s="7"/>
      <c r="J10" s="7"/>
      <c r="K10" s="7"/>
      <c r="L10" s="7"/>
      <c r="M10" s="5">
        <f t="shared" si="0"/>
        <v>0</v>
      </c>
      <c r="N10" s="8">
        <f>SUM((C4+5)*C10/100+(D4+5)*D10/100+(E4+5)*E10/100+(F4+5)*F10/100+(G4+5)*G10/100+(H4+5)*H10/100+(I4+5)*I10/100+(J4+5)*J10/100+(K4+5)*K10/100+(L4+5)*L10/100)</f>
        <v>0</v>
      </c>
      <c r="O10" s="47"/>
      <c r="P10" s="55">
        <f t="shared" si="1"/>
        <v>0</v>
      </c>
      <c r="Q10" s="137"/>
      <c r="R10" s="137"/>
      <c r="S10" s="64" t="s">
        <v>63</v>
      </c>
      <c r="T10" s="65"/>
    </row>
    <row r="11" spans="1:20" x14ac:dyDescent="0.25">
      <c r="A11" s="127"/>
      <c r="B11" s="128"/>
      <c r="C11" s="7"/>
      <c r="D11" s="7"/>
      <c r="E11" s="7"/>
      <c r="F11" s="7"/>
      <c r="G11" s="7"/>
      <c r="H11" s="7"/>
      <c r="I11" s="7"/>
      <c r="J11" s="7"/>
      <c r="K11" s="7"/>
      <c r="L11" s="7"/>
      <c r="M11" s="5">
        <f t="shared" si="0"/>
        <v>0</v>
      </c>
      <c r="N11" s="8">
        <f>SUM((C4+5)*C11/100+(D4+5)*D11/100+(E4+5)*E11/100+(F4+5)*F11/100+(G4+5)*G11/100+(H4+5)*H11/100+(I4+5)*I11/100+(J4+5)*J11/100+(K4+5)*K11/100+(L4+5)*L11/100)</f>
        <v>0</v>
      </c>
      <c r="O11" s="47"/>
      <c r="P11" s="55">
        <f t="shared" si="1"/>
        <v>0</v>
      </c>
      <c r="S11" s="144" t="s">
        <v>64</v>
      </c>
      <c r="T11" s="143"/>
    </row>
    <row r="12" spans="1:20" x14ac:dyDescent="0.25">
      <c r="A12" s="127"/>
      <c r="B12" s="128"/>
      <c r="C12" s="7"/>
      <c r="D12" s="7"/>
      <c r="E12" s="7"/>
      <c r="F12" s="7"/>
      <c r="G12" s="7"/>
      <c r="H12" s="7"/>
      <c r="I12" s="7"/>
      <c r="J12" s="7"/>
      <c r="K12" s="7"/>
      <c r="L12" s="7"/>
      <c r="M12" s="5">
        <f t="shared" si="0"/>
        <v>0</v>
      </c>
      <c r="N12" s="8">
        <f>SUM((C4+5)*C12/100+(D4+5)*D12/100+(E4+5)*E12/100+(F4+5)*F12/100+(G4+5)*G12/100+(H4+5)*H12/100+(I4+5)*I12/100+(J4+5)*J12/100+(K4+5)*K12/100+(L4+5)*L12/100)</f>
        <v>0</v>
      </c>
      <c r="O12" s="47"/>
      <c r="P12" s="55">
        <f t="shared" si="1"/>
        <v>0</v>
      </c>
      <c r="S12" s="66" t="s">
        <v>65</v>
      </c>
      <c r="T12" s="67" t="s">
        <v>26</v>
      </c>
    </row>
    <row r="13" spans="1:20" x14ac:dyDescent="0.25">
      <c r="A13" s="127"/>
      <c r="B13" s="128"/>
      <c r="C13" s="7"/>
      <c r="D13" s="7"/>
      <c r="E13" s="7"/>
      <c r="F13" s="7"/>
      <c r="G13" s="7"/>
      <c r="H13" s="7"/>
      <c r="I13" s="7"/>
      <c r="J13" s="7"/>
      <c r="K13" s="7"/>
      <c r="L13" s="7"/>
      <c r="M13" s="5">
        <f t="shared" si="0"/>
        <v>0</v>
      </c>
      <c r="N13" s="8">
        <f>SUM((C4+5)*C13/100+(D4+5)*D13/100+(E4+5)*E13/100+(F4+5)*F13/100+(G4+5)*G13/100+(H4+5)*H13/100+(I4+5)*I13/100+(J4+5)*J13/100+(K4+5)*K13/100+(L4+5)*L13/100)</f>
        <v>0</v>
      </c>
      <c r="O13" s="47"/>
      <c r="P13" s="55">
        <f t="shared" si="1"/>
        <v>0</v>
      </c>
      <c r="S13" s="68"/>
      <c r="T13" s="21">
        <f>SUM(S13*103%*2.3/1000)</f>
        <v>0</v>
      </c>
    </row>
    <row r="14" spans="1:20" x14ac:dyDescent="0.25">
      <c r="A14" s="127"/>
      <c r="B14" s="128"/>
      <c r="C14" s="7"/>
      <c r="D14" s="7"/>
      <c r="E14" s="7"/>
      <c r="F14" s="7"/>
      <c r="G14" s="7"/>
      <c r="H14" s="7"/>
      <c r="I14" s="7"/>
      <c r="J14" s="7"/>
      <c r="K14" s="7"/>
      <c r="L14" s="7"/>
      <c r="M14" s="5">
        <f t="shared" si="0"/>
        <v>0</v>
      </c>
      <c r="N14" s="8">
        <f>SUM((C4+5)*C14/100+(D4+5)*D14/100+(E4+5)*E14/100+(F4+5)*F14/100+(G4+5)*G14/100+(H4+5)*H14/100+(I4+5)*I14/100+(J4+5)*J14/100+(K4+5)*K14/100+(L4+5)*L14/100)</f>
        <v>0</v>
      </c>
      <c r="O14" s="47"/>
      <c r="P14" s="55">
        <f t="shared" si="1"/>
        <v>0</v>
      </c>
      <c r="S14" s="68"/>
      <c r="T14" s="21">
        <f t="shared" ref="T14:T15" si="3">SUM(S14*103%*2.3/1000)</f>
        <v>0</v>
      </c>
    </row>
    <row r="15" spans="1:20" x14ac:dyDescent="0.25">
      <c r="A15" s="127"/>
      <c r="B15" s="128"/>
      <c r="C15" s="7"/>
      <c r="D15" s="7"/>
      <c r="E15" s="7"/>
      <c r="F15" s="7"/>
      <c r="G15" s="7"/>
      <c r="H15" s="7"/>
      <c r="I15" s="7"/>
      <c r="J15" s="7"/>
      <c r="K15" s="7"/>
      <c r="L15" s="7"/>
      <c r="M15" s="5">
        <f t="shared" si="0"/>
        <v>0</v>
      </c>
      <c r="N15" s="8">
        <f>SUM((C4+5)*C15/100+(D4+5)*D15/100+(E4+5)*E15/100+(F4+5)*F15/100+(G4+5)*G15/100+(H4+5)*H15/100+(I4+5)*I15/100+(J4+5)*J15/100+(K4+5)*K15/100+(L4+5)*L15/100)</f>
        <v>0</v>
      </c>
      <c r="O15" s="47"/>
      <c r="P15" s="55">
        <f t="shared" si="1"/>
        <v>0</v>
      </c>
      <c r="S15" s="68"/>
      <c r="T15" s="21">
        <f t="shared" si="3"/>
        <v>0</v>
      </c>
    </row>
    <row r="16" spans="1:20" ht="15.75" thickBot="1" x14ac:dyDescent="0.3">
      <c r="A16" s="127"/>
      <c r="B16" s="128"/>
      <c r="C16" s="7"/>
      <c r="D16" s="7"/>
      <c r="E16" s="7"/>
      <c r="F16" s="7"/>
      <c r="G16" s="7"/>
      <c r="H16" s="7"/>
      <c r="I16" s="7"/>
      <c r="J16" s="7"/>
      <c r="K16" s="7"/>
      <c r="L16" s="7"/>
      <c r="M16" s="5">
        <f t="shared" si="0"/>
        <v>0</v>
      </c>
      <c r="N16" s="8">
        <f>SUM((C4+5)*C16/100+(D4+5)*D16/100+(E4+5)*E16/100+(F4+5)*F16/100+(G4+5)*G16/100+(H4+5)*H16/100+(I4+5)*I16/100+(J4+5)*J16/100+(K4+5)*K16/100+(L4+5)*L16/100)</f>
        <v>0</v>
      </c>
      <c r="O16" s="47"/>
      <c r="P16" s="55">
        <f t="shared" si="1"/>
        <v>0</v>
      </c>
      <c r="S16" s="71"/>
      <c r="T16" s="25"/>
    </row>
    <row r="17" spans="1:23" x14ac:dyDescent="0.25">
      <c r="A17" s="127"/>
      <c r="B17" s="128"/>
      <c r="C17" s="106">
        <f>SUM(C5:C16)</f>
        <v>0</v>
      </c>
      <c r="D17" s="106">
        <f t="shared" ref="D17:M17" si="4">SUM(D5:D16)</f>
        <v>0</v>
      </c>
      <c r="E17" s="106">
        <f t="shared" si="4"/>
        <v>0</v>
      </c>
      <c r="F17" s="106">
        <f t="shared" si="4"/>
        <v>0</v>
      </c>
      <c r="G17" s="106">
        <f t="shared" si="4"/>
        <v>0</v>
      </c>
      <c r="H17" s="106">
        <f t="shared" si="4"/>
        <v>0</v>
      </c>
      <c r="I17" s="106">
        <f t="shared" si="4"/>
        <v>0</v>
      </c>
      <c r="J17" s="106">
        <f t="shared" si="4"/>
        <v>0</v>
      </c>
      <c r="K17" s="106">
        <f t="shared" si="4"/>
        <v>0</v>
      </c>
      <c r="L17" s="106">
        <f t="shared" si="4"/>
        <v>0</v>
      </c>
      <c r="M17" s="106">
        <f t="shared" si="4"/>
        <v>0</v>
      </c>
      <c r="N17" s="138">
        <f>SUM(N5:N16)</f>
        <v>0</v>
      </c>
      <c r="O17" s="142" t="s">
        <v>56</v>
      </c>
      <c r="P17" s="140">
        <f>SUM(P5:P16)</f>
        <v>0</v>
      </c>
      <c r="S17" s="144" t="s">
        <v>66</v>
      </c>
      <c r="T17" s="143"/>
    </row>
    <row r="18" spans="1:23" ht="15.75" thickBot="1" x14ac:dyDescent="0.3">
      <c r="A18" s="129"/>
      <c r="B18" s="130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39"/>
      <c r="O18" s="142"/>
      <c r="P18" s="141"/>
      <c r="S18" s="23" t="s">
        <v>65</v>
      </c>
      <c r="T18" s="22" t="s">
        <v>26</v>
      </c>
    </row>
    <row r="19" spans="1:23" ht="15.75" thickBot="1" x14ac:dyDescent="0.3">
      <c r="S19" s="68"/>
      <c r="T19" s="21">
        <f>SUM(S19*103%*1.5/1000)</f>
        <v>0</v>
      </c>
    </row>
    <row r="20" spans="1:23" x14ac:dyDescent="0.25">
      <c r="F20" s="107" t="s">
        <v>13</v>
      </c>
      <c r="G20" s="108"/>
      <c r="H20" s="109"/>
      <c r="S20" s="68"/>
      <c r="T20" s="22"/>
    </row>
    <row r="21" spans="1:23" ht="15.75" thickBot="1" x14ac:dyDescent="0.3">
      <c r="F21" s="110"/>
      <c r="G21" s="111"/>
      <c r="H21" s="112"/>
      <c r="S21" s="69"/>
      <c r="T21" s="72"/>
    </row>
    <row r="22" spans="1:23" ht="15.75" thickBot="1" x14ac:dyDescent="0.3">
      <c r="S22" s="25"/>
      <c r="T22" s="25"/>
    </row>
    <row r="23" spans="1:23" ht="15.75" thickBot="1" x14ac:dyDescent="0.3">
      <c r="A23" s="123" t="s">
        <v>16</v>
      </c>
      <c r="B23" s="123"/>
      <c r="C23" s="6" t="s">
        <v>0</v>
      </c>
      <c r="D23" s="102"/>
      <c r="E23" s="103"/>
      <c r="F23" s="103"/>
      <c r="G23" s="103"/>
      <c r="H23" s="103"/>
      <c r="I23" s="103"/>
      <c r="J23" s="103"/>
      <c r="K23" s="103"/>
      <c r="L23" s="105"/>
      <c r="M23" s="3"/>
      <c r="N23" s="2" t="s">
        <v>1</v>
      </c>
      <c r="O23" s="46"/>
      <c r="S23" s="25"/>
      <c r="T23" s="25"/>
      <c r="V23" s="62" t="s">
        <v>73</v>
      </c>
      <c r="W23" s="63" t="s">
        <v>26</v>
      </c>
    </row>
    <row r="24" spans="1:23" x14ac:dyDescent="0.25">
      <c r="A24" s="123"/>
      <c r="B24" s="123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1" t="s">
        <v>2</v>
      </c>
      <c r="N24" s="2" t="s">
        <v>3</v>
      </c>
      <c r="O24" s="50" t="s">
        <v>55</v>
      </c>
      <c r="P24" s="51" t="s">
        <v>53</v>
      </c>
      <c r="S24" s="145" t="s">
        <v>67</v>
      </c>
      <c r="T24" s="146"/>
      <c r="V24" s="23" t="s">
        <v>74</v>
      </c>
      <c r="W24" s="74"/>
    </row>
    <row r="25" spans="1:23" x14ac:dyDescent="0.25">
      <c r="A25" s="125" t="s">
        <v>32</v>
      </c>
      <c r="B25" s="126"/>
      <c r="C25" s="7"/>
      <c r="D25" s="7"/>
      <c r="E25" s="7"/>
      <c r="F25" s="7"/>
      <c r="G25" s="7"/>
      <c r="H25" s="7"/>
      <c r="I25" s="7"/>
      <c r="J25" s="7"/>
      <c r="K25" s="7"/>
      <c r="L25" s="7"/>
      <c r="M25" s="5">
        <f>SUM(C25:L25)</f>
        <v>0</v>
      </c>
      <c r="N25" s="8">
        <f>SUM((C24+1.97)*C25/39.37+(D24+1.97)*D25/39.37+(E24+1.97)*E25/39.37+(F24+1.97)*F25/39.37+(G24+1.97)*G25/39.37+(H24+1.97)*H25/39.37+(I24+1.97)*I25/39.37+(J24+1.97)*J25/39.37+(K24+1.97)*K25/39.37+(L24+1.97)*L25/39.37)</f>
        <v>0</v>
      </c>
      <c r="O25" s="47"/>
      <c r="P25" s="55">
        <f>SUM((N25*O25)%+N25)/101</f>
        <v>0</v>
      </c>
      <c r="S25" s="144" t="s">
        <v>68</v>
      </c>
      <c r="T25" s="147"/>
      <c r="V25" s="23" t="s">
        <v>65</v>
      </c>
      <c r="W25" s="74"/>
    </row>
    <row r="26" spans="1:23" x14ac:dyDescent="0.25">
      <c r="A26" s="127"/>
      <c r="B26" s="128"/>
      <c r="C26" s="7"/>
      <c r="D26" s="7"/>
      <c r="E26" s="7"/>
      <c r="F26" s="7"/>
      <c r="G26" s="7"/>
      <c r="H26" s="7"/>
      <c r="I26" s="7"/>
      <c r="J26" s="7"/>
      <c r="K26" s="7"/>
      <c r="L26" s="7"/>
      <c r="M26" s="5">
        <f t="shared" ref="M26:M36" si="5">SUM(C26:L26)</f>
        <v>0</v>
      </c>
      <c r="N26" s="8">
        <f>(C24+1.97)*C26/39.37+(D24+1.97)*D26/39.37+(E24+1.97)*E26/39.37+(F24+1.97)*F26/39.37+(G24+1.97)*G26/39.37+(H24+1.97)*H26/39.37+(I24+1.97)*I26/39.37+(J24+1.97)*J26/39.37+(K24+1.97)*K26/39.37+(L24+1.97)*L26/39.37</f>
        <v>0</v>
      </c>
      <c r="O26" s="47"/>
      <c r="P26" s="55">
        <f t="shared" ref="P26:P36" si="6">SUM((N26*O26)%+N26)/101</f>
        <v>0</v>
      </c>
      <c r="S26" s="66" t="s">
        <v>69</v>
      </c>
      <c r="T26" s="73" t="s">
        <v>26</v>
      </c>
      <c r="V26" s="23" t="s">
        <v>75</v>
      </c>
      <c r="W26" s="74"/>
    </row>
    <row r="27" spans="1:23" x14ac:dyDescent="0.25">
      <c r="A27" s="127"/>
      <c r="B27" s="128"/>
      <c r="C27" s="7"/>
      <c r="D27" s="7"/>
      <c r="E27" s="7"/>
      <c r="F27" s="7"/>
      <c r="G27" s="7"/>
      <c r="H27" s="7"/>
      <c r="I27" s="7"/>
      <c r="J27" s="7"/>
      <c r="K27" s="7"/>
      <c r="L27" s="7"/>
      <c r="M27" s="5">
        <f t="shared" si="5"/>
        <v>0</v>
      </c>
      <c r="N27" s="8">
        <f>(C24+1.97)*C27/39.37+(D24+1.97)*D27/39.37+(E24+1.97)*E27/39.37+(F24+1.97)*F27/39.37+(G24+1.97)*G27/39.37+(H24+1.97)*H27/39.37+(I24+1.97)*I27/39.37+(J24+1.97)*J27/39.37+(K24+1.97)*K27/39.37+(L24+1.97)*L27/39.37</f>
        <v>0</v>
      </c>
      <c r="O27" s="47"/>
      <c r="P27" s="55">
        <f t="shared" si="6"/>
        <v>0</v>
      </c>
      <c r="Q27" s="137" t="s">
        <v>45</v>
      </c>
      <c r="R27" s="137"/>
      <c r="S27" s="23"/>
      <c r="T27" s="74">
        <f>SUM(S27*0.5)</f>
        <v>0</v>
      </c>
      <c r="V27" s="23" t="s">
        <v>76</v>
      </c>
      <c r="W27" s="74"/>
    </row>
    <row r="28" spans="1:23" ht="15.75" thickBot="1" x14ac:dyDescent="0.3">
      <c r="A28" s="127"/>
      <c r="B28" s="128"/>
      <c r="C28" s="7"/>
      <c r="D28" s="7"/>
      <c r="E28" s="7"/>
      <c r="F28" s="7"/>
      <c r="G28" s="7"/>
      <c r="H28" s="7"/>
      <c r="I28" s="7"/>
      <c r="J28" s="7"/>
      <c r="K28" s="7"/>
      <c r="L28" s="7"/>
      <c r="M28" s="5">
        <f t="shared" si="5"/>
        <v>0</v>
      </c>
      <c r="N28" s="8">
        <f>(C24+1.97)*C28/39.37+(D24+1.97)*D28/39.37+(E24+1.97)*E28/39.37+(F24+1.97)*F28/39.37+(G24+1.97)*G28/39.37+(H24+1.97)*H28/39.37+(I24+1.97)*I28/39.37+(J24+1.97)*J28/39.37+(K24+1.97)*K28/39.37+(L24+1.97)*L28/39.37</f>
        <v>0</v>
      </c>
      <c r="O28" s="47"/>
      <c r="P28" s="55">
        <f t="shared" si="6"/>
        <v>0</v>
      </c>
      <c r="Q28" s="137"/>
      <c r="R28" s="137"/>
      <c r="S28" s="75"/>
      <c r="T28" s="76"/>
      <c r="V28" s="81" t="s">
        <v>28</v>
      </c>
      <c r="W28" s="82">
        <f t="shared" ref="W28" si="7">SUM(W24:W27)</f>
        <v>0</v>
      </c>
    </row>
    <row r="29" spans="1:23" x14ac:dyDescent="0.25">
      <c r="A29" s="127"/>
      <c r="B29" s="128"/>
      <c r="C29" s="7"/>
      <c r="D29" s="7"/>
      <c r="E29" s="7"/>
      <c r="F29" s="7"/>
      <c r="G29" s="7"/>
      <c r="H29" s="7"/>
      <c r="I29" s="7"/>
      <c r="J29" s="7"/>
      <c r="K29" s="7"/>
      <c r="L29" s="7"/>
      <c r="M29" s="5">
        <f t="shared" si="5"/>
        <v>0</v>
      </c>
      <c r="N29" s="8">
        <f>(C24+1.97)*C29/39.37+(D24+1.97)*D29/39.37+(E24+1.97)*E29/39.37+(F24+1.97)*F29/39.37+(G24+1.97)*G29/39.37+(H24+1.97)*H29/39.37+(I24+1.97)*I29/39.37+(J24+1.97)*J29/39.37+(K24+1.97)*K29/39.37+(L24+1.97)*L29/39.37</f>
        <v>0</v>
      </c>
      <c r="O29" s="47"/>
      <c r="P29" s="55">
        <f t="shared" si="6"/>
        <v>0</v>
      </c>
      <c r="Q29" s="137"/>
      <c r="R29" s="137"/>
    </row>
    <row r="30" spans="1:23" x14ac:dyDescent="0.25">
      <c r="A30" s="127"/>
      <c r="B30" s="128"/>
      <c r="C30" s="7"/>
      <c r="D30" s="7"/>
      <c r="E30" s="7"/>
      <c r="F30" s="7"/>
      <c r="G30" s="7"/>
      <c r="H30" s="7"/>
      <c r="I30" s="7"/>
      <c r="J30" s="7"/>
      <c r="K30" s="7"/>
      <c r="L30" s="7"/>
      <c r="M30" s="5">
        <f t="shared" si="5"/>
        <v>0</v>
      </c>
      <c r="N30" s="8">
        <f>(C24+1.97)*C30/39.37+(D24+1.97)*D30/39.37+(E24+1.97)*E30/39.37+(F24+1.97)*F30/39.37+(G24+1.97)*G30/39.37+(H24+1.97)*H30/39.37+(I24+1.97)*I30/39.37+(J24+1.97)*J30/39.37+(K24+1.97)*K30/39.37+(L24+1.97)*L30/39.37</f>
        <v>0</v>
      </c>
      <c r="O30" s="47"/>
      <c r="P30" s="55">
        <f t="shared" si="6"/>
        <v>0</v>
      </c>
      <c r="Q30" s="137"/>
      <c r="R30" s="137"/>
    </row>
    <row r="31" spans="1:23" x14ac:dyDescent="0.25">
      <c r="A31" s="127"/>
      <c r="B31" s="128"/>
      <c r="C31" s="7"/>
      <c r="D31" s="7"/>
      <c r="E31" s="7"/>
      <c r="F31" s="7"/>
      <c r="G31" s="7"/>
      <c r="H31" s="7"/>
      <c r="I31" s="7"/>
      <c r="J31" s="7"/>
      <c r="K31" s="7"/>
      <c r="L31" s="7"/>
      <c r="M31" s="5">
        <f t="shared" si="5"/>
        <v>0</v>
      </c>
      <c r="N31" s="8">
        <f>(C24+1.97)*C31/39.37+(D24+1.97)*D31/39.37+(E24+1.97)*E31/39.37+(F24+1.97)*F31/39.37+(G24+1.97)*G31/39.37+(H24+1.97)*H31/39.37+(I24+1.97)*I31/39.37+(J24+1.97)*J31/39.37+(K24+1.97)*K31/39.37+(L24+1.97)*L31/39.37</f>
        <v>0</v>
      </c>
      <c r="O31" s="47"/>
      <c r="P31" s="55">
        <f t="shared" si="6"/>
        <v>0</v>
      </c>
      <c r="Q31" s="137"/>
      <c r="R31" s="137"/>
    </row>
    <row r="32" spans="1:23" x14ac:dyDescent="0.25">
      <c r="A32" s="127"/>
      <c r="B32" s="128"/>
      <c r="C32" s="7"/>
      <c r="D32" s="7"/>
      <c r="E32" s="7"/>
      <c r="F32" s="7"/>
      <c r="G32" s="7"/>
      <c r="H32" s="7"/>
      <c r="I32" s="7"/>
      <c r="J32" s="7"/>
      <c r="K32" s="7"/>
      <c r="L32" s="7"/>
      <c r="M32" s="5">
        <f t="shared" si="5"/>
        <v>0</v>
      </c>
      <c r="N32" s="8">
        <f>(C24+1.97)*C32/39.37+(D24+1.97)*D32/39.37+(E24+1.97)*E32/39.37+(F24+1.97)*F32/39.37+(G24+1.97)*G32/39.37+(H24+1.97)*H32/39.37+(I24+1.97)*I32/39.37+(J24+1.97)*J32/39.37+(K24+1.97)*K32/39.37+(L24+1.97)*L32/39.37</f>
        <v>0</v>
      </c>
      <c r="O32" s="47"/>
      <c r="P32" s="55">
        <f t="shared" si="6"/>
        <v>0</v>
      </c>
    </row>
    <row r="33" spans="1:16" x14ac:dyDescent="0.25">
      <c r="A33" s="127"/>
      <c r="B33" s="128"/>
      <c r="C33" s="7"/>
      <c r="D33" s="7"/>
      <c r="E33" s="7"/>
      <c r="F33" s="7"/>
      <c r="G33" s="7"/>
      <c r="H33" s="7"/>
      <c r="I33" s="7"/>
      <c r="J33" s="7"/>
      <c r="K33" s="7"/>
      <c r="L33" s="7"/>
      <c r="M33" s="5">
        <f t="shared" si="5"/>
        <v>0</v>
      </c>
      <c r="N33" s="8">
        <f>(C24+1.97)*C33/39.37+(D24+1.97)*D33/39.37+(E24+1.97)*E33/39.37+(F24+1.97)*F33/39.37+(G24+1.97)*G33/39.37+(H24+1.97)*H33/39.37+(I24+1.97)*I33/39.37+(J24+1.97)*J33/39.37+(K24+1.97)*K33/39.37+(L24+1.97)*L33/39.37</f>
        <v>0</v>
      </c>
      <c r="O33" s="47"/>
      <c r="P33" s="55">
        <f t="shared" si="6"/>
        <v>0</v>
      </c>
    </row>
    <row r="34" spans="1:16" x14ac:dyDescent="0.25">
      <c r="A34" s="127"/>
      <c r="B34" s="128"/>
      <c r="C34" s="7"/>
      <c r="D34" s="7"/>
      <c r="E34" s="7"/>
      <c r="F34" s="7"/>
      <c r="G34" s="7"/>
      <c r="H34" s="7"/>
      <c r="I34" s="7"/>
      <c r="J34" s="7"/>
      <c r="K34" s="7"/>
      <c r="L34" s="7"/>
      <c r="M34" s="5">
        <f t="shared" si="5"/>
        <v>0</v>
      </c>
      <c r="N34" s="8">
        <f>(C24+1.97)*C34/39.37+(D24+1.97)*D34/39.37+(E24+1.97)*E34/39.37+(F24+1.97)*F34/39.37+(G24+1.97)*G34/39.37+(H24+1.97)*H34/39.37+(I24+1.97)*I34/39.37+(J24+1.97)*J34/39.37+(K24+1.97)*K34/39.37+(L24+1.97)*L34/39.37</f>
        <v>0</v>
      </c>
      <c r="O34" s="47"/>
      <c r="P34" s="55">
        <f t="shared" si="6"/>
        <v>0</v>
      </c>
    </row>
    <row r="35" spans="1:16" x14ac:dyDescent="0.25">
      <c r="A35" s="127"/>
      <c r="B35" s="128"/>
      <c r="C35" s="7"/>
      <c r="D35" s="7"/>
      <c r="E35" s="7"/>
      <c r="F35" s="7"/>
      <c r="G35" s="7"/>
      <c r="H35" s="7"/>
      <c r="I35" s="7"/>
      <c r="J35" s="7"/>
      <c r="K35" s="7"/>
      <c r="L35" s="7"/>
      <c r="M35" s="5">
        <f t="shared" si="5"/>
        <v>0</v>
      </c>
      <c r="N35" s="8">
        <f>(C24+1.97)*C35/39.37+(D24+1.97)*D35/39.37+(E24+1.97)*E35/39.37+(F24+1.97)*F35/39.37+(G24+1.97)*G35/39.37+(H24+1.97)*H35/39.37+(I24+1.97)*I35/39.37+(J24+1.97)*J35/39.37+(K24+1.97)*K35/39.37+(L24+1.97)*L35/39.37</f>
        <v>0</v>
      </c>
      <c r="O35" s="47"/>
      <c r="P35" s="55">
        <f t="shared" si="6"/>
        <v>0</v>
      </c>
    </row>
    <row r="36" spans="1:16" ht="15.75" thickBot="1" x14ac:dyDescent="0.3">
      <c r="A36" s="127"/>
      <c r="B36" s="128"/>
      <c r="C36" s="7"/>
      <c r="D36" s="7"/>
      <c r="E36" s="7"/>
      <c r="F36" s="7"/>
      <c r="G36" s="7"/>
      <c r="H36" s="7"/>
      <c r="I36" s="7"/>
      <c r="J36" s="7"/>
      <c r="K36" s="7"/>
      <c r="L36" s="7"/>
      <c r="M36" s="5">
        <f t="shared" si="5"/>
        <v>0</v>
      </c>
      <c r="N36" s="8">
        <f>(C24+1.97)*C36/39.37+(D24+1.97)*D36/39.37+(E24+1.97)*E36/39.37+(F24+1.97)*F36/39.37+(G24+1.97)*G36/39.37+(H24+1.97)*H36/39.37+(I24+1.97)*I36/39.37+(J24+1.97)*J36/39.37+(K24+1.97)*K36/39.37+(L24+1.97)*L36/39.37</f>
        <v>0</v>
      </c>
      <c r="O36" s="47"/>
      <c r="P36" s="55">
        <f t="shared" si="6"/>
        <v>0</v>
      </c>
    </row>
    <row r="37" spans="1:16" x14ac:dyDescent="0.25">
      <c r="A37" s="127"/>
      <c r="B37" s="128"/>
      <c r="C37" s="106">
        <f>SUM(C25:C36)</f>
        <v>0</v>
      </c>
      <c r="D37" s="106">
        <f t="shared" ref="D37:M37" si="8">SUM(D25:D36)</f>
        <v>0</v>
      </c>
      <c r="E37" s="106">
        <f t="shared" si="8"/>
        <v>0</v>
      </c>
      <c r="F37" s="106">
        <f t="shared" si="8"/>
        <v>0</v>
      </c>
      <c r="G37" s="106">
        <f t="shared" si="8"/>
        <v>0</v>
      </c>
      <c r="H37" s="106">
        <f t="shared" si="8"/>
        <v>0</v>
      </c>
      <c r="I37" s="106">
        <f t="shared" si="8"/>
        <v>0</v>
      </c>
      <c r="J37" s="106">
        <f t="shared" si="8"/>
        <v>0</v>
      </c>
      <c r="K37" s="106">
        <f t="shared" si="8"/>
        <v>0</v>
      </c>
      <c r="L37" s="106">
        <f t="shared" si="8"/>
        <v>0</v>
      </c>
      <c r="M37" s="106">
        <f t="shared" si="8"/>
        <v>0</v>
      </c>
      <c r="N37" s="138">
        <f>SUM(N25:N36)</f>
        <v>0</v>
      </c>
      <c r="O37" s="142" t="s">
        <v>56</v>
      </c>
      <c r="P37" s="113">
        <f>SUM(P25:P36)</f>
        <v>0</v>
      </c>
    </row>
    <row r="38" spans="1:16" ht="15.75" thickBot="1" x14ac:dyDescent="0.3">
      <c r="A38" s="129"/>
      <c r="B38" s="130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39"/>
      <c r="O38" s="142"/>
      <c r="P38" s="131"/>
    </row>
  </sheetData>
  <mergeCells count="43">
    <mergeCell ref="S4:T4"/>
    <mergeCell ref="S11:T11"/>
    <mergeCell ref="S17:T17"/>
    <mergeCell ref="S24:T24"/>
    <mergeCell ref="S25:T25"/>
    <mergeCell ref="Q6:R10"/>
    <mergeCell ref="Q27:R31"/>
    <mergeCell ref="J37:J38"/>
    <mergeCell ref="K37:K38"/>
    <mergeCell ref="L37:L38"/>
    <mergeCell ref="M37:M38"/>
    <mergeCell ref="N37:N38"/>
    <mergeCell ref="N17:N18"/>
    <mergeCell ref="P17:P18"/>
    <mergeCell ref="O17:O18"/>
    <mergeCell ref="P37:P38"/>
    <mergeCell ref="O37:O38"/>
    <mergeCell ref="F1:H2"/>
    <mergeCell ref="F20:H21"/>
    <mergeCell ref="I37:I38"/>
    <mergeCell ref="L17:L18"/>
    <mergeCell ref="M17:M18"/>
    <mergeCell ref="D37:D38"/>
    <mergeCell ref="E37:E38"/>
    <mergeCell ref="F37:F38"/>
    <mergeCell ref="G37:G38"/>
    <mergeCell ref="H37:H38"/>
    <mergeCell ref="A3:B4"/>
    <mergeCell ref="D3:L3"/>
    <mergeCell ref="C37:C38"/>
    <mergeCell ref="A25:B38"/>
    <mergeCell ref="A23:B24"/>
    <mergeCell ref="D23:L23"/>
    <mergeCell ref="F17:F18"/>
    <mergeCell ref="G17:G18"/>
    <mergeCell ref="H17:H18"/>
    <mergeCell ref="I17:I18"/>
    <mergeCell ref="J17:J18"/>
    <mergeCell ref="K17:K18"/>
    <mergeCell ref="E17:E18"/>
    <mergeCell ref="A5:B18"/>
    <mergeCell ref="C17:C18"/>
    <mergeCell ref="D17:D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37"/>
  <sheetViews>
    <sheetView workbookViewId="0">
      <selection activeCell="C4" sqref="C4"/>
    </sheetView>
  </sheetViews>
  <sheetFormatPr defaultRowHeight="15" x14ac:dyDescent="0.25"/>
  <cols>
    <col min="1" max="1" width="7" customWidth="1"/>
    <col min="2" max="2" width="5.5703125" customWidth="1"/>
    <col min="13" max="13" width="12.85546875" customWidth="1"/>
    <col min="14" max="14" width="10.5703125" customWidth="1"/>
    <col min="15" max="15" width="7.42578125" customWidth="1"/>
    <col min="16" max="16" width="10.7109375" customWidth="1"/>
    <col min="18" max="18" width="6.7109375" customWidth="1"/>
    <col min="19" max="19" width="12.5703125" customWidth="1"/>
    <col min="20" max="20" width="11" customWidth="1"/>
  </cols>
  <sheetData>
    <row r="1" spans="1:20" ht="15.75" thickBot="1" x14ac:dyDescent="0.3">
      <c r="F1" s="107" t="s">
        <v>10</v>
      </c>
      <c r="G1" s="108"/>
      <c r="H1" s="109"/>
    </row>
    <row r="2" spans="1:20" ht="15.75" thickBot="1" x14ac:dyDescent="0.3">
      <c r="F2" s="110"/>
      <c r="G2" s="111"/>
      <c r="H2" s="112"/>
      <c r="S2" s="65"/>
      <c r="T2" s="77"/>
    </row>
    <row r="3" spans="1:20" x14ac:dyDescent="0.25">
      <c r="A3" s="123" t="s">
        <v>17</v>
      </c>
      <c r="B3" s="123"/>
      <c r="C3" s="6" t="s">
        <v>0</v>
      </c>
      <c r="D3" s="102"/>
      <c r="E3" s="103"/>
      <c r="F3" s="103"/>
      <c r="G3" s="103"/>
      <c r="H3" s="103"/>
      <c r="I3" s="103"/>
      <c r="J3" s="103"/>
      <c r="K3" s="103"/>
      <c r="L3" s="105"/>
      <c r="M3" s="3"/>
      <c r="N3" s="2" t="s">
        <v>1</v>
      </c>
      <c r="O3" s="46"/>
      <c r="S3" s="143" t="s">
        <v>70</v>
      </c>
      <c r="T3" s="143"/>
    </row>
    <row r="4" spans="1:20" x14ac:dyDescent="0.25">
      <c r="A4" s="123"/>
      <c r="B4" s="123"/>
      <c r="C4" s="36"/>
      <c r="D4" s="36"/>
      <c r="E4" s="36"/>
      <c r="F4" s="36"/>
      <c r="G4" s="36"/>
      <c r="H4" s="36"/>
      <c r="I4" s="36"/>
      <c r="J4" s="36"/>
      <c r="K4" s="36"/>
      <c r="L4" s="36"/>
      <c r="M4" s="1" t="s">
        <v>2</v>
      </c>
      <c r="N4" s="2" t="s">
        <v>3</v>
      </c>
      <c r="O4" s="50" t="s">
        <v>55</v>
      </c>
      <c r="P4" s="51" t="s">
        <v>53</v>
      </c>
      <c r="S4" s="67" t="s">
        <v>62</v>
      </c>
      <c r="T4" s="73" t="s">
        <v>26</v>
      </c>
    </row>
    <row r="5" spans="1:20" x14ac:dyDescent="0.25">
      <c r="A5" s="125" t="s">
        <v>33</v>
      </c>
      <c r="B5" s="126"/>
      <c r="C5" s="7"/>
      <c r="D5" s="7"/>
      <c r="E5" s="7"/>
      <c r="F5" s="7"/>
      <c r="G5" s="7"/>
      <c r="H5" s="7"/>
      <c r="I5" s="7"/>
      <c r="J5" s="7"/>
      <c r="K5" s="7"/>
      <c r="L5" s="7"/>
      <c r="M5" s="5">
        <f>SUM(C5:L5)</f>
        <v>0</v>
      </c>
      <c r="N5" s="8">
        <f>SUM((C4+5)*C5/100+(D4+5)*D5/100+(E4+5)*E5/100+(F4+5)*F5/100+(G4+5)*G5/100+(H4+5)*H5/100+(I4+5)*I5/100+(J4+5)*J5/100+(K4+5)*K5/100+(L4+5)*L5/100)</f>
        <v>0</v>
      </c>
      <c r="O5" s="47"/>
      <c r="P5" s="55">
        <f>SUM((N5*O5)%+N5)/81</f>
        <v>0</v>
      </c>
      <c r="S5" s="20">
        <f>N17</f>
        <v>0</v>
      </c>
      <c r="T5" s="24">
        <f>SUM(S5*102.5%*13.07/1000)</f>
        <v>0</v>
      </c>
    </row>
    <row r="6" spans="1:20" x14ac:dyDescent="0.25">
      <c r="A6" s="127"/>
      <c r="B6" s="128"/>
      <c r="C6" s="7"/>
      <c r="D6" s="7"/>
      <c r="E6" s="7"/>
      <c r="F6" s="7"/>
      <c r="G6" s="7"/>
      <c r="H6" s="7"/>
      <c r="I6" s="7"/>
      <c r="J6" s="7"/>
      <c r="K6" s="7"/>
      <c r="L6" s="7"/>
      <c r="M6" s="5">
        <f t="shared" ref="M6:M16" si="0">SUM(C6:L6)</f>
        <v>0</v>
      </c>
      <c r="N6" s="8">
        <f>SUM((C4+5)*C6/100+(D4+5)*D6/100+(E4+5)*E6/100+(F4+5)*F6/100+(G4+5)*G6/100+(H4+5)*H6/100+(I4+5)*I6/100+(J4+5)*J6/100+(K4+5)*K6/100+(L4+5)*L6/100)</f>
        <v>0</v>
      </c>
      <c r="O6" s="47"/>
      <c r="P6" s="55">
        <f t="shared" ref="P6:P16" si="1">SUM((N6*O6)%+N6)/81</f>
        <v>0</v>
      </c>
      <c r="Q6" s="137" t="s">
        <v>42</v>
      </c>
      <c r="R6" s="137"/>
      <c r="S6" s="20">
        <f>N36</f>
        <v>0</v>
      </c>
      <c r="T6" s="24">
        <f t="shared" ref="T6:T7" si="2">SUM(S6*102.5%*13.07/1000)</f>
        <v>0</v>
      </c>
    </row>
    <row r="7" spans="1:20" ht="15.75" thickBot="1" x14ac:dyDescent="0.3">
      <c r="A7" s="127"/>
      <c r="B7" s="128"/>
      <c r="C7" s="7"/>
      <c r="D7" s="7"/>
      <c r="E7" s="7"/>
      <c r="F7" s="7"/>
      <c r="G7" s="7"/>
      <c r="H7" s="7"/>
      <c r="I7" s="7"/>
      <c r="J7" s="7"/>
      <c r="K7" s="7"/>
      <c r="L7" s="7"/>
      <c r="M7" s="5">
        <f t="shared" si="0"/>
        <v>0</v>
      </c>
      <c r="N7" s="8">
        <f>SUM((C4+5)*C7/100+(D4+5)*D7/100+(E4+5)*E7/100+(F4+5)*F7/100+(G4+5)*G7/100+(H4+5)*H7/100+(I4+5)*I7/100+(J4+5)*J7/100+(K4+5)*K7/100+(L4+5)*L7/100)</f>
        <v>0</v>
      </c>
      <c r="O7" s="47"/>
      <c r="P7" s="55">
        <f t="shared" si="1"/>
        <v>0</v>
      </c>
      <c r="Q7" s="137"/>
      <c r="R7" s="137"/>
      <c r="S7" s="78"/>
      <c r="T7" s="79">
        <f t="shared" si="2"/>
        <v>0</v>
      </c>
    </row>
    <row r="8" spans="1:20" ht="15.75" thickBot="1" x14ac:dyDescent="0.3">
      <c r="A8" s="127"/>
      <c r="B8" s="128"/>
      <c r="C8" s="7"/>
      <c r="D8" s="7"/>
      <c r="E8" s="7"/>
      <c r="F8" s="7"/>
      <c r="G8" s="7"/>
      <c r="H8" s="7"/>
      <c r="I8" s="7"/>
      <c r="J8" s="7"/>
      <c r="K8" s="7"/>
      <c r="L8" s="7"/>
      <c r="M8" s="5">
        <f t="shared" si="0"/>
        <v>0</v>
      </c>
      <c r="N8" s="8">
        <f>SUM((C4+5)*C8/100+(D4+5)*D8/100+(E4+5)*E8/100+(F4+5)*F8/100+(G4+5)*G8/100+(H4+5)*H8/100+(I4+5)*I8/100+(J4+5)*J8/100+(K4+5)*K8/100+(L4+5)*L8/100)</f>
        <v>0</v>
      </c>
      <c r="O8" s="47"/>
      <c r="P8" s="55">
        <f t="shared" si="1"/>
        <v>0</v>
      </c>
      <c r="Q8" s="137"/>
      <c r="R8" s="137"/>
      <c r="S8" s="25"/>
      <c r="T8" s="25"/>
    </row>
    <row r="9" spans="1:20" x14ac:dyDescent="0.25">
      <c r="A9" s="127"/>
      <c r="B9" s="128"/>
      <c r="C9" s="7"/>
      <c r="D9" s="7"/>
      <c r="E9" s="7"/>
      <c r="F9" s="7"/>
      <c r="G9" s="7"/>
      <c r="H9" s="7"/>
      <c r="I9" s="7"/>
      <c r="J9" s="7"/>
      <c r="K9" s="7"/>
      <c r="L9" s="7"/>
      <c r="M9" s="5">
        <f t="shared" si="0"/>
        <v>0</v>
      </c>
      <c r="N9" s="8">
        <f>SUM((C4+5)*C9/100+(D4+5)*D9/100+(E4+5)*E9/100+(F4+5)*F9/100+(G4+5)*G9/100+(H4+5)*H9/100+(I4+5)*I9/100+(J4+5)*J9/100+(K4+5)*K9/100+(L4+5)*L9/100)</f>
        <v>0</v>
      </c>
      <c r="O9" s="47"/>
      <c r="P9" s="55">
        <f t="shared" si="1"/>
        <v>0</v>
      </c>
      <c r="Q9" s="137"/>
      <c r="R9" s="137"/>
      <c r="S9" s="65"/>
      <c r="T9" s="77"/>
    </row>
    <row r="10" spans="1:20" x14ac:dyDescent="0.25">
      <c r="A10" s="127"/>
      <c r="B10" s="128"/>
      <c r="C10" s="7"/>
      <c r="D10" s="7"/>
      <c r="E10" s="7"/>
      <c r="F10" s="7"/>
      <c r="G10" s="7"/>
      <c r="H10" s="7"/>
      <c r="I10" s="7"/>
      <c r="J10" s="7"/>
      <c r="K10" s="7"/>
      <c r="L10" s="7"/>
      <c r="M10" s="5">
        <f t="shared" si="0"/>
        <v>0</v>
      </c>
      <c r="N10" s="8">
        <f>SUM((C4+5)*C10/100+(D4+5)*D10/100+(E4+5)*E10/100+(F4+5)*F10/100+(G4+5)*G10/100+(H4+5)*H10/100+(I4+5)*I10/100+(J4+5)*J10/100+(K4+5)*K10/100+(L4+5)*L10/100)</f>
        <v>0</v>
      </c>
      <c r="O10" s="47"/>
      <c r="P10" s="55">
        <f t="shared" si="1"/>
        <v>0</v>
      </c>
      <c r="Q10" s="137"/>
      <c r="R10" s="137"/>
      <c r="S10" s="143" t="s">
        <v>71</v>
      </c>
      <c r="T10" s="147"/>
    </row>
    <row r="11" spans="1:20" x14ac:dyDescent="0.25">
      <c r="A11" s="127"/>
      <c r="B11" s="128"/>
      <c r="C11" s="7"/>
      <c r="D11" s="7"/>
      <c r="E11" s="7"/>
      <c r="F11" s="7"/>
      <c r="G11" s="7"/>
      <c r="H11" s="7"/>
      <c r="I11" s="7"/>
      <c r="J11" s="7"/>
      <c r="K11" s="7"/>
      <c r="L11" s="7"/>
      <c r="M11" s="5">
        <f t="shared" si="0"/>
        <v>0</v>
      </c>
      <c r="N11" s="8">
        <f>SUM((C4+5)*C11/100+(D4+5)*D11/100+(E4+5)*E11/100+(F4+5)*F11/100+(G4+5)*G11/100+(H4+5)*H11/100+(I4+5)*I11/100+(J4+5)*J11/100+(K4+5)*K11/100+(L4+5)*L11/100)</f>
        <v>0</v>
      </c>
      <c r="O11" s="47"/>
      <c r="P11" s="55">
        <f t="shared" si="1"/>
        <v>0</v>
      </c>
      <c r="S11" s="67" t="s">
        <v>65</v>
      </c>
      <c r="T11" s="73" t="s">
        <v>26</v>
      </c>
    </row>
    <row r="12" spans="1:20" x14ac:dyDescent="0.25">
      <c r="A12" s="127"/>
      <c r="B12" s="128"/>
      <c r="C12" s="7"/>
      <c r="D12" s="7"/>
      <c r="E12" s="7"/>
      <c r="F12" s="7"/>
      <c r="G12" s="7"/>
      <c r="H12" s="7"/>
      <c r="I12" s="7"/>
      <c r="J12" s="7"/>
      <c r="K12" s="7"/>
      <c r="L12" s="7"/>
      <c r="M12" s="5">
        <f t="shared" si="0"/>
        <v>0</v>
      </c>
      <c r="N12" s="8">
        <f>SUM((C4+5)*C12/100+(D4+5)*D12/100+(E4+5)*E12/100+(F4+5)*F12/100+(G4+5)*G12/100+(H4+5)*H12/100+(I4+5)*I12/100+(J4+5)*J12/100+(K4+5)*K12/100+(L4+5)*L12/100)</f>
        <v>0</v>
      </c>
      <c r="O12" s="47"/>
      <c r="P12" s="55">
        <f t="shared" si="1"/>
        <v>0</v>
      </c>
      <c r="S12" s="20"/>
      <c r="T12" s="24">
        <f>SUM(S12*103%*3/1000)</f>
        <v>0</v>
      </c>
    </row>
    <row r="13" spans="1:20" x14ac:dyDescent="0.25">
      <c r="A13" s="127"/>
      <c r="B13" s="128"/>
      <c r="C13" s="7"/>
      <c r="D13" s="7"/>
      <c r="E13" s="7"/>
      <c r="F13" s="7"/>
      <c r="G13" s="7"/>
      <c r="H13" s="7"/>
      <c r="I13" s="7"/>
      <c r="J13" s="7"/>
      <c r="K13" s="7"/>
      <c r="L13" s="7"/>
      <c r="M13" s="5">
        <f t="shared" si="0"/>
        <v>0</v>
      </c>
      <c r="N13" s="8">
        <f>SUM((C4+5)*C13/100+(D4+5)*D13/100+(E4+5)*E13/100+(F4+5)*F13/100+(G4+5)*G13/100+(H4+5)*H13/100+(I4+5)*I13/100+(J4+5)*J13/100+(K4+5)*K13/100+(L4+5)*L13/100)</f>
        <v>0</v>
      </c>
      <c r="O13" s="47"/>
      <c r="P13" s="55">
        <f t="shared" si="1"/>
        <v>0</v>
      </c>
      <c r="S13" s="20"/>
      <c r="T13" s="24">
        <f t="shared" ref="T13:T14" si="3">SUM(S13*103%*3/1000)</f>
        <v>0</v>
      </c>
    </row>
    <row r="14" spans="1:20" x14ac:dyDescent="0.25">
      <c r="A14" s="127"/>
      <c r="B14" s="128"/>
      <c r="C14" s="7"/>
      <c r="D14" s="7"/>
      <c r="E14" s="7"/>
      <c r="F14" s="7"/>
      <c r="G14" s="7"/>
      <c r="H14" s="7"/>
      <c r="I14" s="7"/>
      <c r="J14" s="7"/>
      <c r="K14" s="7"/>
      <c r="L14" s="7"/>
      <c r="M14" s="5">
        <f t="shared" si="0"/>
        <v>0</v>
      </c>
      <c r="N14" s="8">
        <f>SUM((C4+5)*C14/100+(D4+5)*D14/100+(E4+5)*E14/100+(F4+5)*F14/100+(G4+5)*G14/100+(H4+5)*H14/100+(I4+5)*I14/100+(J4+5)*J14/100+(K4+5)*K14/100+(L4+5)*L14/100)</f>
        <v>0</v>
      </c>
      <c r="O14" s="47"/>
      <c r="P14" s="55">
        <f t="shared" si="1"/>
        <v>0</v>
      </c>
      <c r="S14" s="20"/>
      <c r="T14" s="24">
        <f t="shared" si="3"/>
        <v>0</v>
      </c>
    </row>
    <row r="15" spans="1:20" x14ac:dyDescent="0.25">
      <c r="A15" s="127"/>
      <c r="B15" s="128"/>
      <c r="C15" s="7"/>
      <c r="D15" s="7"/>
      <c r="E15" s="7"/>
      <c r="F15" s="7"/>
      <c r="G15" s="7"/>
      <c r="H15" s="7"/>
      <c r="I15" s="7"/>
      <c r="J15" s="7"/>
      <c r="K15" s="7"/>
      <c r="L15" s="7"/>
      <c r="M15" s="5">
        <f t="shared" si="0"/>
        <v>0</v>
      </c>
      <c r="N15" s="8">
        <f>SUM((C4+5)*C15/100+(D4+5)*D15/100+(E4+5)*E15/100+(F4+5)*F15/100+(G4+5)*G15/100+(H4+5)*H15/100+(I4+5)*I15/100+(J4+5)*J15/100+(K4+5)*K15/100+(L4+5)*L15/100)</f>
        <v>0</v>
      </c>
      <c r="O15" s="47"/>
      <c r="P15" s="55">
        <f t="shared" si="1"/>
        <v>0</v>
      </c>
      <c r="S15" s="25"/>
      <c r="T15" s="80"/>
    </row>
    <row r="16" spans="1:20" ht="15.75" thickBot="1" x14ac:dyDescent="0.3">
      <c r="A16" s="127"/>
      <c r="B16" s="128"/>
      <c r="C16" s="7"/>
      <c r="D16" s="7"/>
      <c r="E16" s="7"/>
      <c r="F16" s="7"/>
      <c r="G16" s="7"/>
      <c r="H16" s="7"/>
      <c r="I16" s="7"/>
      <c r="J16" s="7"/>
      <c r="K16" s="7"/>
      <c r="L16" s="7"/>
      <c r="M16" s="5">
        <f t="shared" si="0"/>
        <v>0</v>
      </c>
      <c r="N16" s="8">
        <f>SUM((C4+5)*C16/100+(D4+5)*D16/100+(E4+5)*E16/100+(F4+5)*F16/100+(G4+5)*G16/100+(H4+5)*H16/100+(I4+5)*I16/100+(J4+5)*J16/100+(K4+5)*K16/100+(L4+5)*L16/100)</f>
        <v>0</v>
      </c>
      <c r="O16" s="47"/>
      <c r="P16" s="55">
        <f t="shared" si="1"/>
        <v>0</v>
      </c>
      <c r="S16" s="143" t="s">
        <v>72</v>
      </c>
      <c r="T16" s="147"/>
    </row>
    <row r="17" spans="1:20" x14ac:dyDescent="0.25">
      <c r="A17" s="127"/>
      <c r="B17" s="128"/>
      <c r="C17" s="106">
        <f>SUM(C5:C16)</f>
        <v>0</v>
      </c>
      <c r="D17" s="106">
        <f t="shared" ref="D17:M17" si="4">SUM(D5:D16)</f>
        <v>0</v>
      </c>
      <c r="E17" s="106">
        <f t="shared" si="4"/>
        <v>0</v>
      </c>
      <c r="F17" s="106">
        <f t="shared" si="4"/>
        <v>0</v>
      </c>
      <c r="G17" s="106">
        <f t="shared" si="4"/>
        <v>0</v>
      </c>
      <c r="H17" s="106">
        <f t="shared" si="4"/>
        <v>0</v>
      </c>
      <c r="I17" s="106">
        <f t="shared" si="4"/>
        <v>0</v>
      </c>
      <c r="J17" s="106">
        <f t="shared" si="4"/>
        <v>0</v>
      </c>
      <c r="K17" s="106">
        <f t="shared" si="4"/>
        <v>0</v>
      </c>
      <c r="L17" s="106">
        <f t="shared" si="4"/>
        <v>0</v>
      </c>
      <c r="M17" s="106">
        <f t="shared" si="4"/>
        <v>0</v>
      </c>
      <c r="N17" s="138">
        <f>SUM(N5:N16)</f>
        <v>0</v>
      </c>
      <c r="O17" s="142" t="s">
        <v>56</v>
      </c>
      <c r="P17" s="113">
        <f>SUM(P5:P16)</f>
        <v>0</v>
      </c>
      <c r="S17" s="22" t="s">
        <v>65</v>
      </c>
      <c r="T17" s="74" t="s">
        <v>26</v>
      </c>
    </row>
    <row r="18" spans="1:20" ht="15.75" thickBot="1" x14ac:dyDescent="0.3">
      <c r="A18" s="129"/>
      <c r="B18" s="130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39"/>
      <c r="O18" s="142"/>
      <c r="P18" s="131"/>
      <c r="S18" s="20"/>
      <c r="T18" s="24">
        <f>SUM(S18*103%*1.7/1000)</f>
        <v>0</v>
      </c>
    </row>
    <row r="19" spans="1:20" ht="15.75" thickBot="1" x14ac:dyDescent="0.3">
      <c r="S19" s="20"/>
      <c r="T19" s="24">
        <f>SUM(S19*103%*1.7/1000)</f>
        <v>0</v>
      </c>
    </row>
    <row r="20" spans="1:20" ht="15.75" thickBot="1" x14ac:dyDescent="0.3">
      <c r="F20" s="107" t="s">
        <v>11</v>
      </c>
      <c r="G20" s="108"/>
      <c r="H20" s="109"/>
      <c r="S20" s="78"/>
      <c r="T20" s="76"/>
    </row>
    <row r="21" spans="1:20" ht="15.75" thickBot="1" x14ac:dyDescent="0.3">
      <c r="F21" s="110"/>
      <c r="G21" s="111"/>
      <c r="H21" s="112"/>
    </row>
    <row r="22" spans="1:20" ht="15.75" thickBot="1" x14ac:dyDescent="0.3">
      <c r="A22" s="123" t="s">
        <v>16</v>
      </c>
      <c r="B22" s="123"/>
      <c r="C22" s="6" t="s">
        <v>0</v>
      </c>
      <c r="D22" s="102"/>
      <c r="E22" s="103"/>
      <c r="F22" s="103"/>
      <c r="G22" s="103"/>
      <c r="H22" s="103"/>
      <c r="I22" s="103"/>
      <c r="J22" s="103"/>
      <c r="K22" s="103"/>
      <c r="L22" s="105"/>
      <c r="M22" s="3"/>
      <c r="N22" s="2" t="s">
        <v>1</v>
      </c>
      <c r="O22" s="46"/>
    </row>
    <row r="23" spans="1:20" x14ac:dyDescent="0.25">
      <c r="A23" s="123"/>
      <c r="B23" s="123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1" t="s">
        <v>2</v>
      </c>
      <c r="N23" s="2" t="s">
        <v>3</v>
      </c>
      <c r="O23" s="50" t="s">
        <v>55</v>
      </c>
      <c r="P23" s="51" t="s">
        <v>53</v>
      </c>
      <c r="S23" s="62" t="s">
        <v>73</v>
      </c>
      <c r="T23" s="63" t="s">
        <v>26</v>
      </c>
    </row>
    <row r="24" spans="1:20" x14ac:dyDescent="0.25">
      <c r="A24" s="125" t="s">
        <v>33</v>
      </c>
      <c r="B24" s="126"/>
      <c r="C24" s="7"/>
      <c r="D24" s="7"/>
      <c r="E24" s="7"/>
      <c r="F24" s="7"/>
      <c r="G24" s="7"/>
      <c r="H24" s="7"/>
      <c r="I24" s="7"/>
      <c r="J24" s="7"/>
      <c r="K24" s="7"/>
      <c r="L24" s="7"/>
      <c r="M24" s="5">
        <f>SUM(C24:L24)</f>
        <v>0</v>
      </c>
      <c r="N24" s="8">
        <f>SUM((C23+1.97)*C24/39.37+(D23+1.97)*D24/39.37+(E23+1.97)*E24/39.37+(F23+1.97)*F24/39.37+(G23+1.97)*G24/39.37+(H23+1.97)*H24/39.37+(I23+1.97)*I24/39.37+(J23+1.97)*J24/39.37+(K23+1.97)*K24/39.37+(L23+1.97)*L24/39.37)</f>
        <v>0</v>
      </c>
      <c r="O24" s="47"/>
      <c r="P24" s="55">
        <f>SUM((N24*O24)%+N24)/81</f>
        <v>0</v>
      </c>
      <c r="S24" s="23" t="s">
        <v>74</v>
      </c>
      <c r="T24" s="84"/>
    </row>
    <row r="25" spans="1:20" x14ac:dyDescent="0.25">
      <c r="A25" s="127"/>
      <c r="B25" s="128"/>
      <c r="C25" s="7"/>
      <c r="D25" s="7"/>
      <c r="E25" s="7"/>
      <c r="F25" s="7"/>
      <c r="G25" s="7"/>
      <c r="H25" s="7"/>
      <c r="I25" s="7"/>
      <c r="J25" s="7"/>
      <c r="K25" s="7"/>
      <c r="L25" s="7"/>
      <c r="M25" s="5">
        <f t="shared" ref="M25:M35" si="5">SUM(C25:L25)</f>
        <v>0</v>
      </c>
      <c r="N25" s="8">
        <f>(C23+1.97)*C25/39.37+(D23+1.97)*D25/39.37+(E23+1.97)*E25/39.37+(F23+1.97)*F25/39.37+(G23+1.97)*G25/39.37+(H23+1.97)*H25/39.37+(I23+1.97)*I25/39.37+(J23+1.97)*J25/39.37+(K23+1.97)*K25/39.37+(L23+1.97)*L25/39.37</f>
        <v>0</v>
      </c>
      <c r="O25" s="47"/>
      <c r="P25" s="55">
        <f t="shared" ref="P25:P35" si="6">SUM((N25*O25)%+N25)/81</f>
        <v>0</v>
      </c>
      <c r="Q25" s="137" t="s">
        <v>43</v>
      </c>
      <c r="R25" s="137"/>
      <c r="S25" s="23" t="s">
        <v>65</v>
      </c>
      <c r="T25" s="74"/>
    </row>
    <row r="26" spans="1:20" x14ac:dyDescent="0.25">
      <c r="A26" s="127"/>
      <c r="B26" s="128"/>
      <c r="C26" s="7"/>
      <c r="D26" s="7"/>
      <c r="E26" s="7"/>
      <c r="F26" s="7"/>
      <c r="G26" s="7"/>
      <c r="H26" s="7"/>
      <c r="I26" s="7"/>
      <c r="J26" s="7"/>
      <c r="K26" s="7"/>
      <c r="L26" s="7"/>
      <c r="M26" s="5">
        <f t="shared" si="5"/>
        <v>0</v>
      </c>
      <c r="N26" s="8">
        <f>(C23+1.97)*C26/39.37+(D23+1.97)*D26/39.37+(E23+1.97)*E26/39.37+(F23+1.97)*F26/39.37+(G23+1.97)*G26/39.37+(H23+1.97)*H26/39.37+(I23+1.97)*I26/39.37+(J23+1.97)*J26/39.37+(K23+1.97)*K26/39.37+(L23+1.97)*L26/39.37</f>
        <v>0</v>
      </c>
      <c r="O26" s="47"/>
      <c r="P26" s="55">
        <f t="shared" si="6"/>
        <v>0</v>
      </c>
      <c r="Q26" s="137"/>
      <c r="R26" s="137"/>
      <c r="S26" s="23" t="s">
        <v>75</v>
      </c>
      <c r="T26" s="74"/>
    </row>
    <row r="27" spans="1:20" x14ac:dyDescent="0.25">
      <c r="A27" s="127"/>
      <c r="B27" s="128"/>
      <c r="C27" s="7"/>
      <c r="D27" s="7"/>
      <c r="E27" s="7"/>
      <c r="F27" s="7"/>
      <c r="G27" s="7"/>
      <c r="H27" s="7"/>
      <c r="I27" s="7"/>
      <c r="J27" s="7"/>
      <c r="K27" s="7"/>
      <c r="L27" s="7"/>
      <c r="M27" s="5">
        <f t="shared" si="5"/>
        <v>0</v>
      </c>
      <c r="N27" s="8">
        <f>(C23+1.97)*C27/39.37+(D23+1.97)*D27/39.37+(E23+1.97)*E27/39.37+(F23+1.97)*F27/39.37+(G23+1.97)*G27/39.37+(H23+1.97)*H27/39.37+(I23+1.97)*I27/39.37+(J23+1.97)*J27/39.37+(K23+1.97)*K27/39.37+(L23+1.97)*L27/39.37</f>
        <v>0</v>
      </c>
      <c r="O27" s="47"/>
      <c r="P27" s="55">
        <f t="shared" si="6"/>
        <v>0</v>
      </c>
      <c r="Q27" s="137"/>
      <c r="R27" s="137"/>
      <c r="S27" s="23" t="s">
        <v>76</v>
      </c>
      <c r="T27" s="74"/>
    </row>
    <row r="28" spans="1:20" ht="15.75" thickBot="1" x14ac:dyDescent="0.3">
      <c r="A28" s="127"/>
      <c r="B28" s="128"/>
      <c r="C28" s="7"/>
      <c r="D28" s="7"/>
      <c r="E28" s="7"/>
      <c r="F28" s="7"/>
      <c r="G28" s="7"/>
      <c r="H28" s="7"/>
      <c r="I28" s="7"/>
      <c r="J28" s="7"/>
      <c r="K28" s="7"/>
      <c r="L28" s="7"/>
      <c r="M28" s="5">
        <f t="shared" si="5"/>
        <v>0</v>
      </c>
      <c r="N28" s="8">
        <f>(C23+1.97)*C28/39.37+(D23+1.97)*D28/39.37+(E23+1.97)*E28/39.37+(F23+1.97)*F28/39.37+(G23+1.97)*G28/39.37+(H23+1.97)*H28/39.37+(I23+1.97)*I28/39.37+(J23+1.97)*J28/39.37+(K23+1.97)*K28/39.37+(L23+1.97)*L28/39.37</f>
        <v>0</v>
      </c>
      <c r="O28" s="47"/>
      <c r="P28" s="55">
        <f t="shared" si="6"/>
        <v>0</v>
      </c>
      <c r="Q28" s="137"/>
      <c r="R28" s="137"/>
      <c r="S28" s="81" t="s">
        <v>28</v>
      </c>
      <c r="T28" s="82">
        <f t="shared" ref="T28" si="7">SUM(T24:T27)</f>
        <v>0</v>
      </c>
    </row>
    <row r="29" spans="1:20" x14ac:dyDescent="0.25">
      <c r="A29" s="127"/>
      <c r="B29" s="128"/>
      <c r="C29" s="7"/>
      <c r="D29" s="7"/>
      <c r="E29" s="7"/>
      <c r="F29" s="7"/>
      <c r="G29" s="7"/>
      <c r="H29" s="7"/>
      <c r="I29" s="7"/>
      <c r="J29" s="7"/>
      <c r="K29" s="7"/>
      <c r="L29" s="7"/>
      <c r="M29" s="5">
        <f t="shared" si="5"/>
        <v>0</v>
      </c>
      <c r="N29" s="8">
        <f>(C23+1.97)*C29/39.37+(D23+1.97)*D29/39.37+(E23+1.97)*E29/39.37+(F23+1.97)*F29/39.37+(G23+1.97)*G29/39.37+(H23+1.97)*H29/39.37+(I23+1.97)*I29/39.37+(J23+1.97)*J29/39.37+(K23+1.97)*K29/39.37+(L23+1.97)*L29/39.37</f>
        <v>0</v>
      </c>
      <c r="O29" s="47"/>
      <c r="P29" s="55">
        <f t="shared" si="6"/>
        <v>0</v>
      </c>
      <c r="Q29" s="137"/>
      <c r="R29" s="137"/>
    </row>
    <row r="30" spans="1:20" x14ac:dyDescent="0.25">
      <c r="A30" s="127"/>
      <c r="B30" s="128"/>
      <c r="C30" s="7"/>
      <c r="D30" s="7"/>
      <c r="E30" s="7"/>
      <c r="F30" s="7"/>
      <c r="G30" s="7"/>
      <c r="H30" s="7"/>
      <c r="I30" s="7"/>
      <c r="J30" s="7"/>
      <c r="K30" s="7"/>
      <c r="L30" s="7"/>
      <c r="M30" s="5">
        <f t="shared" si="5"/>
        <v>0</v>
      </c>
      <c r="N30" s="8">
        <f>(C23+1.97)*C30/39.37+(D23+1.97)*D30/39.37+(E23+1.97)*E30/39.37+(F23+1.97)*F30/39.37+(G23+1.97)*G30/39.37+(H23+1.97)*H30/39.37+(I23+1.97)*I30/39.37+(J23+1.97)*J30/39.37+(K23+1.97)*K30/39.37+(L23+1.97)*L30/39.37</f>
        <v>0</v>
      </c>
      <c r="O30" s="47"/>
      <c r="P30" s="55">
        <f t="shared" si="6"/>
        <v>0</v>
      </c>
    </row>
    <row r="31" spans="1:20" x14ac:dyDescent="0.25">
      <c r="A31" s="127"/>
      <c r="B31" s="128"/>
      <c r="C31" s="7"/>
      <c r="D31" s="7"/>
      <c r="E31" s="7"/>
      <c r="F31" s="7"/>
      <c r="G31" s="7"/>
      <c r="H31" s="7"/>
      <c r="I31" s="7"/>
      <c r="J31" s="7"/>
      <c r="K31" s="7"/>
      <c r="L31" s="7"/>
      <c r="M31" s="5">
        <f t="shared" si="5"/>
        <v>0</v>
      </c>
      <c r="N31" s="8">
        <f>(C23+1.97)*C31/39.37+(D23+1.97)*D31/39.37+(E23+1.97)*E31/39.37+(F23+1.97)*F31/39.37+(G23+1.97)*G31/39.37+(H23+1.97)*H31/39.37+(I23+1.97)*I31/39.37+(J23+1.97)*J31/39.37+(K23+1.97)*K31/39.37+(L23+1.97)*L31/39.37</f>
        <v>0</v>
      </c>
      <c r="O31" s="47"/>
      <c r="P31" s="55">
        <f t="shared" si="6"/>
        <v>0</v>
      </c>
    </row>
    <row r="32" spans="1:20" x14ac:dyDescent="0.25">
      <c r="A32" s="127"/>
      <c r="B32" s="128"/>
      <c r="C32" s="7"/>
      <c r="D32" s="7"/>
      <c r="E32" s="7"/>
      <c r="F32" s="7"/>
      <c r="G32" s="7"/>
      <c r="H32" s="7"/>
      <c r="I32" s="7"/>
      <c r="J32" s="7"/>
      <c r="K32" s="7"/>
      <c r="L32" s="7"/>
      <c r="M32" s="5">
        <f t="shared" si="5"/>
        <v>0</v>
      </c>
      <c r="N32" s="8">
        <f>(C23+1.97)*C32/39.37+(D23+1.97)*D32/39.37+(E23+1.97)*E32/39.37+(F23+1.97)*F32/39.37+(G23+1.97)*G32/39.37+(H23+1.97)*H32/39.37+(I23+1.97)*I32/39.37+(J23+1.97)*J32/39.37+(K23+1.97)*K32/39.37+(L23+1.97)*L32/39.37</f>
        <v>0</v>
      </c>
      <c r="O32" s="47"/>
      <c r="P32" s="55">
        <f t="shared" si="6"/>
        <v>0</v>
      </c>
    </row>
    <row r="33" spans="1:16" x14ac:dyDescent="0.25">
      <c r="A33" s="127"/>
      <c r="B33" s="128"/>
      <c r="C33" s="7"/>
      <c r="D33" s="7"/>
      <c r="E33" s="7"/>
      <c r="F33" s="7"/>
      <c r="G33" s="7"/>
      <c r="H33" s="7"/>
      <c r="I33" s="7"/>
      <c r="J33" s="7"/>
      <c r="K33" s="7"/>
      <c r="L33" s="7"/>
      <c r="M33" s="5">
        <f t="shared" si="5"/>
        <v>0</v>
      </c>
      <c r="N33" s="8">
        <f>(C23+1.97)*C33/39.37+(D23+1.97)*D33/39.37+(E23+1.97)*E33/39.37+(F23+1.97)*F33/39.37+(G23+1.97)*G33/39.37+(H23+1.97)*H33/39.37+(I23+1.97)*I33/39.37+(J23+1.97)*J33/39.37+(K23+1.97)*K33/39.37+(L23+1.97)*L33/39.37</f>
        <v>0</v>
      </c>
      <c r="O33" s="47"/>
      <c r="P33" s="55">
        <f t="shared" si="6"/>
        <v>0</v>
      </c>
    </row>
    <row r="34" spans="1:16" x14ac:dyDescent="0.25">
      <c r="A34" s="127"/>
      <c r="B34" s="128"/>
      <c r="C34" s="7"/>
      <c r="D34" s="7"/>
      <c r="E34" s="7"/>
      <c r="F34" s="7"/>
      <c r="G34" s="7"/>
      <c r="H34" s="7"/>
      <c r="I34" s="7"/>
      <c r="J34" s="7"/>
      <c r="K34" s="7"/>
      <c r="L34" s="7"/>
      <c r="M34" s="5">
        <f t="shared" si="5"/>
        <v>0</v>
      </c>
      <c r="N34" s="8">
        <f>(C23+1.97)*C34/39.37+(D23+1.97)*D34/39.37+(E23+1.97)*E34/39.37+(F23+1.97)*F34/39.37+(G23+1.97)*G34/39.37+(H23+1.97)*H34/39.37+(I23+1.97)*I34/39.37+(J23+1.97)*J34/39.37+(K23+1.97)*K34/39.37+(L23+1.97)*L34/39.37</f>
        <v>0</v>
      </c>
      <c r="O34" s="47"/>
      <c r="P34" s="55">
        <f t="shared" si="6"/>
        <v>0</v>
      </c>
    </row>
    <row r="35" spans="1:16" ht="15.75" thickBot="1" x14ac:dyDescent="0.3">
      <c r="A35" s="127"/>
      <c r="B35" s="128"/>
      <c r="C35" s="7"/>
      <c r="D35" s="7"/>
      <c r="E35" s="7"/>
      <c r="F35" s="7"/>
      <c r="G35" s="7"/>
      <c r="H35" s="7"/>
      <c r="I35" s="7"/>
      <c r="J35" s="7"/>
      <c r="K35" s="7"/>
      <c r="L35" s="7"/>
      <c r="M35" s="5">
        <f t="shared" si="5"/>
        <v>0</v>
      </c>
      <c r="N35" s="8">
        <f>(C23+1.97)*C35/39.37+(D23+1.97)*D35/39.37+(E23+1.97)*E35/39.37+(F23+1.97)*F35/39.37+(G23+1.97)*G35/39.37+(H23+1.97)*H35/39.37+(I23+1.97)*I35/39.37+(J23+1.97)*J35/39.37+(K23+1.97)*K35/39.37+(L23+1.97)*L35/39.37</f>
        <v>0</v>
      </c>
      <c r="O35" s="47"/>
      <c r="P35" s="55">
        <f t="shared" si="6"/>
        <v>0</v>
      </c>
    </row>
    <row r="36" spans="1:16" x14ac:dyDescent="0.25">
      <c r="A36" s="127"/>
      <c r="B36" s="128"/>
      <c r="C36" s="106">
        <f>SUM(C24:C35)</f>
        <v>0</v>
      </c>
      <c r="D36" s="106">
        <f t="shared" ref="D36:M36" si="8">SUM(D24:D35)</f>
        <v>0</v>
      </c>
      <c r="E36" s="106">
        <f t="shared" si="8"/>
        <v>0</v>
      </c>
      <c r="F36" s="106">
        <f t="shared" si="8"/>
        <v>0</v>
      </c>
      <c r="G36" s="106">
        <f t="shared" si="8"/>
        <v>0</v>
      </c>
      <c r="H36" s="106">
        <f t="shared" si="8"/>
        <v>0</v>
      </c>
      <c r="I36" s="106">
        <f t="shared" si="8"/>
        <v>0</v>
      </c>
      <c r="J36" s="106">
        <f t="shared" si="8"/>
        <v>0</v>
      </c>
      <c r="K36" s="106">
        <f t="shared" si="8"/>
        <v>0</v>
      </c>
      <c r="L36" s="106">
        <f t="shared" si="8"/>
        <v>0</v>
      </c>
      <c r="M36" s="106">
        <f t="shared" si="8"/>
        <v>0</v>
      </c>
      <c r="N36" s="138">
        <f>SUM(N24:N35)</f>
        <v>0</v>
      </c>
      <c r="O36" s="142" t="s">
        <v>56</v>
      </c>
      <c r="P36" s="113">
        <f>SUM(P24:P35)</f>
        <v>0</v>
      </c>
    </row>
    <row r="37" spans="1:16" ht="15.75" thickBot="1" x14ac:dyDescent="0.3">
      <c r="A37" s="129"/>
      <c r="B37" s="130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39"/>
      <c r="O37" s="142"/>
      <c r="P37" s="131"/>
    </row>
  </sheetData>
  <mergeCells count="41">
    <mergeCell ref="S3:T3"/>
    <mergeCell ref="S10:T10"/>
    <mergeCell ref="S16:T16"/>
    <mergeCell ref="Q6:R10"/>
    <mergeCell ref="Q25:R29"/>
    <mergeCell ref="P17:P18"/>
    <mergeCell ref="O17:O18"/>
    <mergeCell ref="P36:P37"/>
    <mergeCell ref="O36:O37"/>
    <mergeCell ref="F1:H2"/>
    <mergeCell ref="F20:H21"/>
    <mergeCell ref="I36:I37"/>
    <mergeCell ref="L17:L18"/>
    <mergeCell ref="M17:M18"/>
    <mergeCell ref="J36:J37"/>
    <mergeCell ref="K36:K37"/>
    <mergeCell ref="L36:L37"/>
    <mergeCell ref="M36:M37"/>
    <mergeCell ref="N17:N18"/>
    <mergeCell ref="N36:N37"/>
    <mergeCell ref="D36:D37"/>
    <mergeCell ref="E36:E37"/>
    <mergeCell ref="F36:F37"/>
    <mergeCell ref="G36:G37"/>
    <mergeCell ref="H36:H37"/>
    <mergeCell ref="A3:B4"/>
    <mergeCell ref="D3:L3"/>
    <mergeCell ref="C36:C37"/>
    <mergeCell ref="A24:B37"/>
    <mergeCell ref="A22:B23"/>
    <mergeCell ref="D22:L22"/>
    <mergeCell ref="F17:F18"/>
    <mergeCell ref="G17:G18"/>
    <mergeCell ref="H17:H18"/>
    <mergeCell ref="I17:I18"/>
    <mergeCell ref="J17:J18"/>
    <mergeCell ref="K17:K18"/>
    <mergeCell ref="E17:E18"/>
    <mergeCell ref="A5:B18"/>
    <mergeCell ref="C17:C18"/>
    <mergeCell ref="D17:D18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</sheetPr>
  <dimension ref="A1:V38"/>
  <sheetViews>
    <sheetView workbookViewId="0">
      <selection activeCell="C4" sqref="C4"/>
    </sheetView>
  </sheetViews>
  <sheetFormatPr defaultRowHeight="15" x14ac:dyDescent="0.25"/>
  <cols>
    <col min="1" max="1" width="7.140625" customWidth="1"/>
    <col min="2" max="2" width="4.140625" customWidth="1"/>
    <col min="13" max="13" width="13" customWidth="1"/>
    <col min="14" max="14" width="12.7109375" customWidth="1"/>
    <col min="15" max="15" width="7.42578125" customWidth="1"/>
    <col min="16" max="16" width="11.42578125" customWidth="1"/>
    <col min="17" max="17" width="11.140625" customWidth="1"/>
    <col min="19" max="19" width="7.42578125" customWidth="1"/>
    <col min="20" max="20" width="10.7109375" customWidth="1"/>
    <col min="21" max="21" width="10" customWidth="1"/>
    <col min="22" max="22" width="10.85546875" customWidth="1"/>
  </cols>
  <sheetData>
    <row r="1" spans="1:22" x14ac:dyDescent="0.25">
      <c r="F1" s="107" t="s">
        <v>8</v>
      </c>
      <c r="G1" s="108"/>
      <c r="H1" s="109"/>
    </row>
    <row r="2" spans="1:22" ht="16.5" thickBot="1" x14ac:dyDescent="0.3">
      <c r="F2" s="110"/>
      <c r="G2" s="111"/>
      <c r="H2" s="112"/>
      <c r="T2" s="148" t="s">
        <v>22</v>
      </c>
      <c r="U2" s="148"/>
    </row>
    <row r="3" spans="1:22" x14ac:dyDescent="0.25">
      <c r="A3" s="124" t="s">
        <v>17</v>
      </c>
      <c r="B3" s="124"/>
      <c r="C3" s="6" t="s">
        <v>0</v>
      </c>
      <c r="D3" s="102"/>
      <c r="E3" s="103"/>
      <c r="F3" s="103"/>
      <c r="G3" s="103"/>
      <c r="H3" s="103"/>
      <c r="I3" s="103"/>
      <c r="J3" s="103"/>
      <c r="K3" s="103"/>
      <c r="L3" s="105"/>
      <c r="M3" s="3"/>
      <c r="N3" s="2" t="s">
        <v>1</v>
      </c>
      <c r="O3" s="46"/>
    </row>
    <row r="4" spans="1:22" x14ac:dyDescent="0.25">
      <c r="A4" s="124"/>
      <c r="B4" s="124"/>
      <c r="C4" s="36"/>
      <c r="D4" s="36"/>
      <c r="E4" s="36"/>
      <c r="F4" s="36"/>
      <c r="G4" s="36"/>
      <c r="H4" s="36"/>
      <c r="I4" s="36"/>
      <c r="J4" s="36"/>
      <c r="K4" s="36"/>
      <c r="L4" s="36"/>
      <c r="M4" s="1" t="s">
        <v>2</v>
      </c>
      <c r="N4" s="2" t="s">
        <v>3</v>
      </c>
      <c r="O4" s="50" t="s">
        <v>55</v>
      </c>
      <c r="P4" s="51" t="s">
        <v>53</v>
      </c>
      <c r="S4" s="37">
        <f>C4</f>
        <v>0</v>
      </c>
      <c r="T4" s="38">
        <f>C17</f>
        <v>0</v>
      </c>
      <c r="U4" s="18">
        <f>((S4*T4/100)/32)</f>
        <v>0</v>
      </c>
      <c r="V4" s="18">
        <f>U4*4%+U4</f>
        <v>0</v>
      </c>
    </row>
    <row r="5" spans="1:22" x14ac:dyDescent="0.25">
      <c r="A5" s="96" t="s">
        <v>34</v>
      </c>
      <c r="B5" s="97"/>
      <c r="C5" s="7"/>
      <c r="D5" s="7"/>
      <c r="E5" s="7"/>
      <c r="F5" s="7"/>
      <c r="G5" s="7"/>
      <c r="H5" s="7"/>
      <c r="I5" s="7"/>
      <c r="J5" s="7"/>
      <c r="K5" s="7"/>
      <c r="L5" s="7"/>
      <c r="M5" s="5">
        <f>SUM(C5:L5)</f>
        <v>0</v>
      </c>
      <c r="N5" s="8">
        <f>SUM((C4+4.5)*C5/100+(D4+4.5)*D5/100+(E4+4.5)*E5/100+(F4+4.5)*F5/100+(G4+4.5)*G5/100+(H4+4.5)*H5/100+(I4+4.5)*I5/100+(J4+4.5)*J5/100+(K4+4.5)*K5/100+(L4+4.5)*L5/100)</f>
        <v>0</v>
      </c>
      <c r="O5" s="47"/>
      <c r="P5" s="55">
        <f>SUM((N5*O5)%+N5)/97</f>
        <v>0</v>
      </c>
      <c r="S5" s="37">
        <f>D4</f>
        <v>0</v>
      </c>
      <c r="T5" s="38">
        <f>D17</f>
        <v>0</v>
      </c>
      <c r="U5" s="18">
        <f t="shared" ref="U5:U13" si="0">((S5*T5/100)/32)</f>
        <v>0</v>
      </c>
      <c r="V5" s="18">
        <f t="shared" ref="V5:V13" si="1">U5*4%+U5</f>
        <v>0</v>
      </c>
    </row>
    <row r="6" spans="1:22" x14ac:dyDescent="0.25">
      <c r="A6" s="98"/>
      <c r="B6" s="99"/>
      <c r="C6" s="7"/>
      <c r="D6" s="7"/>
      <c r="E6" s="7"/>
      <c r="F6" s="7"/>
      <c r="G6" s="7"/>
      <c r="H6" s="7"/>
      <c r="I6" s="7"/>
      <c r="J6" s="7"/>
      <c r="K6" s="7"/>
      <c r="L6" s="7"/>
      <c r="M6" s="5">
        <f t="shared" ref="M6:M16" si="2">SUM(C6:L6)</f>
        <v>0</v>
      </c>
      <c r="N6" s="8">
        <f>SUM((C4+4.5)*C6/100+(D4+4.5)*D6/100+(E4+4.5)*E6/100+(F4+4.5)*F6/100+(G4+4.5)*G6/100+(H4+4.5)*H6/100+(I4+4.5)*I6/100+(J4+4.5)*J6/100+(K4+4.5)*K6/100+(L4+4.5)*L6/100)</f>
        <v>0</v>
      </c>
      <c r="O6" s="47"/>
      <c r="P6" s="55">
        <f t="shared" ref="P6:P16" si="3">SUM((N6*O6)%+N6)/97</f>
        <v>0</v>
      </c>
      <c r="Q6" s="120" t="s">
        <v>40</v>
      </c>
      <c r="R6" s="120"/>
      <c r="S6" s="37">
        <f>E4</f>
        <v>0</v>
      </c>
      <c r="T6" s="38">
        <f>E17</f>
        <v>0</v>
      </c>
      <c r="U6" s="18">
        <f t="shared" si="0"/>
        <v>0</v>
      </c>
      <c r="V6" s="18">
        <f t="shared" si="1"/>
        <v>0</v>
      </c>
    </row>
    <row r="7" spans="1:22" x14ac:dyDescent="0.25">
      <c r="A7" s="98"/>
      <c r="B7" s="99"/>
      <c r="C7" s="7"/>
      <c r="D7" s="7"/>
      <c r="E7" s="7"/>
      <c r="F7" s="7"/>
      <c r="G7" s="7"/>
      <c r="H7" s="7"/>
      <c r="I7" s="7"/>
      <c r="J7" s="7"/>
      <c r="K7" s="7"/>
      <c r="L7" s="7"/>
      <c r="M7" s="5">
        <f t="shared" si="2"/>
        <v>0</v>
      </c>
      <c r="N7" s="8">
        <f>SUM((C4+4.5)*C7/100+(D4+4.5)*D7/100+(E4+4.5)*E7/100+(F4+4.5)*F7/100+(G4+4.5)*G7/100+(H4+4.5)*H7/100+(I4+4.5)*I7/100+(J4+4.5)*J7/100+(K4+4.5)*K7/100+(L4+4.5)*L7/100)</f>
        <v>0</v>
      </c>
      <c r="O7" s="47"/>
      <c r="P7" s="55">
        <f t="shared" si="3"/>
        <v>0</v>
      </c>
      <c r="Q7" s="120"/>
      <c r="R7" s="120"/>
      <c r="S7" s="37">
        <f>F4</f>
        <v>0</v>
      </c>
      <c r="T7" s="38">
        <f>F17</f>
        <v>0</v>
      </c>
      <c r="U7" s="18">
        <f t="shared" si="0"/>
        <v>0</v>
      </c>
      <c r="V7" s="18">
        <f t="shared" si="1"/>
        <v>0</v>
      </c>
    </row>
    <row r="8" spans="1:22" x14ac:dyDescent="0.25">
      <c r="A8" s="98"/>
      <c r="B8" s="99"/>
      <c r="C8" s="7"/>
      <c r="D8" s="7"/>
      <c r="E8" s="7"/>
      <c r="F8" s="7"/>
      <c r="G8" s="7"/>
      <c r="H8" s="7"/>
      <c r="I8" s="7"/>
      <c r="J8" s="7"/>
      <c r="K8" s="7"/>
      <c r="L8" s="7"/>
      <c r="M8" s="5">
        <f t="shared" si="2"/>
        <v>0</v>
      </c>
      <c r="N8" s="8">
        <f>SUM((C4+4.5)*C8/100+(D4+4.5)*D8/100+(E4+4.5)*E8/100+(F4+4.5)*F8/100+(G4+4.5)*G8/100+(H4+4.5)*H8/100+(I4+4.5)*I8/100+(J4+4.5)*J8/100+(K4+4.5)*K8/100+(L4+4.5)*L8/100)</f>
        <v>0</v>
      </c>
      <c r="O8" s="47"/>
      <c r="P8" s="55">
        <f t="shared" si="3"/>
        <v>0</v>
      </c>
      <c r="Q8" s="120"/>
      <c r="R8" s="120"/>
      <c r="S8" s="37">
        <f>G4</f>
        <v>0</v>
      </c>
      <c r="T8" s="38">
        <f>G17</f>
        <v>0</v>
      </c>
      <c r="U8" s="18">
        <f t="shared" si="0"/>
        <v>0</v>
      </c>
      <c r="V8" s="18">
        <f t="shared" si="1"/>
        <v>0</v>
      </c>
    </row>
    <row r="9" spans="1:22" x14ac:dyDescent="0.25">
      <c r="A9" s="98"/>
      <c r="B9" s="99"/>
      <c r="C9" s="7"/>
      <c r="D9" s="7"/>
      <c r="E9" s="7"/>
      <c r="F9" s="7"/>
      <c r="G9" s="7"/>
      <c r="H9" s="7"/>
      <c r="I9" s="7"/>
      <c r="J9" s="7"/>
      <c r="K9" s="7"/>
      <c r="L9" s="7"/>
      <c r="M9" s="5">
        <f t="shared" si="2"/>
        <v>0</v>
      </c>
      <c r="N9" s="8">
        <f>SUM((C4+4.5)*C9/100+(D4+4.5)*D9/100+(E4+4.5)*E9/100+(F4+4.5)*F9/100+(G4+4.5)*G9/100+(H4+4.5)*H9/100+(I4+4.5)*I9/100+(J4+4.5)*J9/100+(K4+4.5)*K9/100+(L4+4.5)*L9/100)</f>
        <v>0</v>
      </c>
      <c r="O9" s="47"/>
      <c r="P9" s="55">
        <f t="shared" si="3"/>
        <v>0</v>
      </c>
      <c r="Q9" s="120"/>
      <c r="R9" s="120"/>
      <c r="S9" s="37">
        <f>H4</f>
        <v>0</v>
      </c>
      <c r="T9" s="38">
        <f>H17</f>
        <v>0</v>
      </c>
      <c r="U9" s="18">
        <f t="shared" si="0"/>
        <v>0</v>
      </c>
      <c r="V9" s="18">
        <f t="shared" si="1"/>
        <v>0</v>
      </c>
    </row>
    <row r="10" spans="1:22" x14ac:dyDescent="0.25">
      <c r="A10" s="98"/>
      <c r="B10" s="99"/>
      <c r="C10" s="7"/>
      <c r="D10" s="7"/>
      <c r="E10" s="7"/>
      <c r="F10" s="7"/>
      <c r="G10" s="7"/>
      <c r="H10" s="7"/>
      <c r="I10" s="7"/>
      <c r="J10" s="7"/>
      <c r="K10" s="7"/>
      <c r="L10" s="7"/>
      <c r="M10" s="5">
        <f t="shared" si="2"/>
        <v>0</v>
      </c>
      <c r="N10" s="8">
        <f>SUM((C4+4.5)*C10/100+(D4+4.5)*D10/100+(E4+4.5)*E10/100+(F4+4.5)*F10/100+(G4+4.5)*G10/100+(H4+4.5)*H10/100+(I4+4.5)*I10/100+(J4+4.5)*J10/100+(K4+4.5)*K10/100+(L4+4.5)*L10/100)</f>
        <v>0</v>
      </c>
      <c r="O10" s="47"/>
      <c r="P10" s="55">
        <f t="shared" si="3"/>
        <v>0</v>
      </c>
      <c r="Q10" s="120"/>
      <c r="R10" s="120"/>
      <c r="S10" s="37">
        <f>I4</f>
        <v>0</v>
      </c>
      <c r="T10" s="38">
        <f>I17</f>
        <v>0</v>
      </c>
      <c r="U10" s="18">
        <f t="shared" si="0"/>
        <v>0</v>
      </c>
      <c r="V10" s="18">
        <f t="shared" si="1"/>
        <v>0</v>
      </c>
    </row>
    <row r="11" spans="1:22" x14ac:dyDescent="0.25">
      <c r="A11" s="98"/>
      <c r="B11" s="99"/>
      <c r="C11" s="7"/>
      <c r="D11" s="7"/>
      <c r="E11" s="7"/>
      <c r="F11" s="7"/>
      <c r="G11" s="7"/>
      <c r="H11" s="7"/>
      <c r="I11" s="7"/>
      <c r="J11" s="7"/>
      <c r="K11" s="7"/>
      <c r="L11" s="7"/>
      <c r="M11" s="5">
        <f t="shared" si="2"/>
        <v>0</v>
      </c>
      <c r="N11" s="8">
        <f>SUM((C4+4.5)*C11/100+(D4+4.5)*D11/100+(E4+4.5)*E11/100+(F4+4.5)*F11/100+(G4+4.5)*G11/100+(H4+4.5)*H11/100+(I4+4.5)*I11/100+(J4+4.5)*J11/100+(K4+4.5)*K11/100+(L4+4.5)*L11/100)</f>
        <v>0</v>
      </c>
      <c r="O11" s="47"/>
      <c r="P11" s="55">
        <f t="shared" si="3"/>
        <v>0</v>
      </c>
      <c r="S11" s="37">
        <f>J4</f>
        <v>0</v>
      </c>
      <c r="T11" s="38">
        <f>J17</f>
        <v>0</v>
      </c>
      <c r="U11" s="18">
        <f t="shared" si="0"/>
        <v>0</v>
      </c>
      <c r="V11" s="18">
        <f t="shared" si="1"/>
        <v>0</v>
      </c>
    </row>
    <row r="12" spans="1:22" x14ac:dyDescent="0.25">
      <c r="A12" s="98"/>
      <c r="B12" s="99"/>
      <c r="C12" s="7"/>
      <c r="D12" s="7"/>
      <c r="E12" s="7"/>
      <c r="F12" s="7"/>
      <c r="G12" s="7"/>
      <c r="H12" s="7"/>
      <c r="I12" s="7"/>
      <c r="J12" s="7"/>
      <c r="K12" s="7"/>
      <c r="L12" s="7"/>
      <c r="M12" s="5">
        <f t="shared" si="2"/>
        <v>0</v>
      </c>
      <c r="N12" s="8">
        <f>SUM((C4+4.5)*C12/100+(D4+4.5)*D12/100+(E4+4.5)*E12/100+(F4+4.5)*F12/100+(G4+4.5)*G12/100+(H4+4.5)*H12/100+(I4+4.5)*I12/100+(J4+4.5)*J12/100+(K4+4.5)*K12/100+(L4+4.5)*L12/100)</f>
        <v>0</v>
      </c>
      <c r="O12" s="47"/>
      <c r="P12" s="55">
        <f t="shared" si="3"/>
        <v>0</v>
      </c>
      <c r="S12" s="37">
        <f>K4</f>
        <v>0</v>
      </c>
      <c r="T12" s="38">
        <f>K17</f>
        <v>0</v>
      </c>
      <c r="U12" s="18">
        <f t="shared" si="0"/>
        <v>0</v>
      </c>
      <c r="V12" s="18">
        <f t="shared" si="1"/>
        <v>0</v>
      </c>
    </row>
    <row r="13" spans="1:22" x14ac:dyDescent="0.25">
      <c r="A13" s="98"/>
      <c r="B13" s="99"/>
      <c r="C13" s="7"/>
      <c r="D13" s="7"/>
      <c r="E13" s="7"/>
      <c r="F13" s="7"/>
      <c r="G13" s="7"/>
      <c r="H13" s="7"/>
      <c r="I13" s="7"/>
      <c r="J13" s="7"/>
      <c r="K13" s="7"/>
      <c r="L13" s="7"/>
      <c r="M13" s="5">
        <f t="shared" si="2"/>
        <v>0</v>
      </c>
      <c r="N13" s="8">
        <f>SUM((C4+4.5)*C13/100+(D4+4.5)*D13/100+(E4+4.5)*E13/100+(F4+4.5)*F13/100+(G4+4.5)*G13/100+(H4+4.5)*H13/100+(I4+4.5)*I13/100+(J4+4.5)*J13/100+(K4+4.5)*K13/100+(L4+4.5)*L13/100)</f>
        <v>0</v>
      </c>
      <c r="O13" s="47"/>
      <c r="P13" s="55">
        <f t="shared" si="3"/>
        <v>0</v>
      </c>
      <c r="S13" s="37">
        <f>L4</f>
        <v>0</v>
      </c>
      <c r="T13" s="38">
        <f>L17</f>
        <v>0</v>
      </c>
      <c r="U13" s="18">
        <f t="shared" si="0"/>
        <v>0</v>
      </c>
      <c r="V13" s="18">
        <f t="shared" si="1"/>
        <v>0</v>
      </c>
    </row>
    <row r="14" spans="1:22" x14ac:dyDescent="0.25">
      <c r="A14" s="98"/>
      <c r="B14" s="99"/>
      <c r="C14" s="7"/>
      <c r="D14" s="7"/>
      <c r="E14" s="7"/>
      <c r="F14" s="7"/>
      <c r="G14" s="7"/>
      <c r="H14" s="7"/>
      <c r="I14" s="7"/>
      <c r="J14" s="7"/>
      <c r="K14" s="7"/>
      <c r="L14" s="7"/>
      <c r="M14" s="5">
        <f t="shared" si="2"/>
        <v>0</v>
      </c>
      <c r="N14" s="8">
        <f>SUM((C4+4.5)*C14/100+(D4+4.5)*D14/100+(E4+4.5)*E14/100+(F4+4.5)*F14/100+(G4+4.5)*G14/100+(H4+4.5)*H14/100+(I4+4.5)*I14/100+(J4+4.5)*J14/100+(K4+4.5)*K14/100+(L4+4.5)*L14/100)</f>
        <v>0</v>
      </c>
      <c r="O14" s="47"/>
      <c r="P14" s="55">
        <f t="shared" si="3"/>
        <v>0</v>
      </c>
      <c r="S14" s="18"/>
      <c r="T14" s="38">
        <f>SUM(T4:T13)</f>
        <v>0</v>
      </c>
      <c r="U14" s="18"/>
      <c r="V14" s="39">
        <f>SUM(V4:V13)</f>
        <v>0</v>
      </c>
    </row>
    <row r="15" spans="1:22" x14ac:dyDescent="0.25">
      <c r="A15" s="98"/>
      <c r="B15" s="99"/>
      <c r="C15" s="7"/>
      <c r="D15" s="7"/>
      <c r="E15" s="7"/>
      <c r="F15" s="7"/>
      <c r="G15" s="7"/>
      <c r="H15" s="7"/>
      <c r="I15" s="7"/>
      <c r="J15" s="7"/>
      <c r="K15" s="7"/>
      <c r="L15" s="7"/>
      <c r="M15" s="5">
        <f t="shared" si="2"/>
        <v>0</v>
      </c>
      <c r="N15" s="8">
        <f>SUM((C4+4.5)*C15/100+(D4+4.5)*D15/100+(E4+4.5)*E15/100+(F4+4.5)*F15/100+(G4+4.5)*G15/100+(H4+4.5)*H15/100+(I4+4.5)*I15/100+(J4+4.5)*J15/100+(K4+4.5)*K15/100+(L4+4.5)*L15/100)</f>
        <v>0</v>
      </c>
      <c r="O15" s="47"/>
      <c r="P15" s="55">
        <f t="shared" si="3"/>
        <v>0</v>
      </c>
    </row>
    <row r="16" spans="1:22" ht="19.5" thickBot="1" x14ac:dyDescent="0.35">
      <c r="A16" s="98"/>
      <c r="B16" s="99"/>
      <c r="C16" s="7"/>
      <c r="D16" s="7"/>
      <c r="E16" s="7"/>
      <c r="F16" s="7"/>
      <c r="G16" s="7"/>
      <c r="H16" s="7"/>
      <c r="I16" s="7"/>
      <c r="J16" s="7"/>
      <c r="K16" s="7"/>
      <c r="L16" s="7"/>
      <c r="M16" s="5">
        <f t="shared" si="2"/>
        <v>0</v>
      </c>
      <c r="N16" s="8">
        <f>SUM((C4+4.5)*C16/100+(D4+4.5)*D16/100+(E4+4.5)*E16/100+(F4+4.5)*F16/100+(G4+4.5)*G16/100+(H4+4.5)*H16/100+(I4+4.5)*I16/100+(J4+4.5)*J16/100+(K4+4.5)*K16/100+(L4+4.5)*L16/100)</f>
        <v>0</v>
      </c>
      <c r="O16" s="47"/>
      <c r="P16" s="55">
        <f t="shared" si="3"/>
        <v>0</v>
      </c>
      <c r="Q16" s="149" t="s">
        <v>51</v>
      </c>
      <c r="R16" s="149"/>
      <c r="T16" s="119" t="s">
        <v>52</v>
      </c>
      <c r="U16" s="119"/>
    </row>
    <row r="17" spans="1:22" x14ac:dyDescent="0.25">
      <c r="A17" s="98"/>
      <c r="B17" s="99"/>
      <c r="C17" s="106">
        <f>SUM(C5:C16)</f>
        <v>0</v>
      </c>
      <c r="D17" s="106">
        <f t="shared" ref="D17:M17" si="4">SUM(D5:D16)</f>
        <v>0</v>
      </c>
      <c r="E17" s="106">
        <f t="shared" si="4"/>
        <v>0</v>
      </c>
      <c r="F17" s="106">
        <f t="shared" si="4"/>
        <v>0</v>
      </c>
      <c r="G17" s="106">
        <f t="shared" si="4"/>
        <v>0</v>
      </c>
      <c r="H17" s="106">
        <f t="shared" si="4"/>
        <v>0</v>
      </c>
      <c r="I17" s="106">
        <f t="shared" si="4"/>
        <v>0</v>
      </c>
      <c r="J17" s="106">
        <f t="shared" si="4"/>
        <v>0</v>
      </c>
      <c r="K17" s="106">
        <f t="shared" si="4"/>
        <v>0</v>
      </c>
      <c r="L17" s="106">
        <f t="shared" si="4"/>
        <v>0</v>
      </c>
      <c r="M17" s="106">
        <f t="shared" si="4"/>
        <v>0</v>
      </c>
      <c r="N17" s="4"/>
      <c r="O17" s="115" t="s">
        <v>56</v>
      </c>
      <c r="P17" s="113">
        <f>SUM(P5:P16)</f>
        <v>0</v>
      </c>
      <c r="Q17" s="56">
        <f>M17</f>
        <v>0</v>
      </c>
      <c r="R17" s="43">
        <f>Q17*0.22/1000</f>
        <v>0</v>
      </c>
      <c r="T17" s="40">
        <f>M17</f>
        <v>0</v>
      </c>
      <c r="U17" s="45">
        <f>T17*2.5%+M17</f>
        <v>0</v>
      </c>
    </row>
    <row r="18" spans="1:22" ht="15.75" thickBot="1" x14ac:dyDescent="0.3">
      <c r="A18" s="100"/>
      <c r="B18" s="101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4"/>
      <c r="O18" s="115"/>
      <c r="P18" s="131"/>
      <c r="Q18" s="57"/>
      <c r="R18" s="44"/>
    </row>
    <row r="19" spans="1:22" ht="15.75" thickBot="1" x14ac:dyDescent="0.3"/>
    <row r="20" spans="1:22" x14ac:dyDescent="0.25">
      <c r="F20" s="107" t="s">
        <v>9</v>
      </c>
      <c r="G20" s="108"/>
      <c r="H20" s="109"/>
    </row>
    <row r="21" spans="1:22" ht="15.75" thickBot="1" x14ac:dyDescent="0.3">
      <c r="F21" s="110"/>
      <c r="G21" s="111"/>
      <c r="H21" s="112"/>
    </row>
    <row r="22" spans="1:22" x14ac:dyDescent="0.25">
      <c r="A22" s="123" t="s">
        <v>16</v>
      </c>
      <c r="B22" s="123"/>
      <c r="C22" s="6" t="s">
        <v>0</v>
      </c>
      <c r="D22" s="102"/>
      <c r="E22" s="103"/>
      <c r="F22" s="103"/>
      <c r="G22" s="103"/>
      <c r="H22" s="103"/>
      <c r="I22" s="103"/>
      <c r="J22" s="103"/>
      <c r="K22" s="103"/>
      <c r="L22" s="105"/>
      <c r="M22" s="3"/>
      <c r="N22" s="2" t="s">
        <v>1</v>
      </c>
      <c r="O22" s="46"/>
      <c r="T22" s="119" t="s">
        <v>22</v>
      </c>
      <c r="U22" s="119"/>
    </row>
    <row r="23" spans="1:22" x14ac:dyDescent="0.25">
      <c r="A23" s="123"/>
      <c r="B23" s="123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1" t="s">
        <v>2</v>
      </c>
      <c r="N23" s="2" t="s">
        <v>3</v>
      </c>
      <c r="O23" s="50" t="s">
        <v>55</v>
      </c>
      <c r="P23" s="51" t="s">
        <v>53</v>
      </c>
    </row>
    <row r="24" spans="1:22" x14ac:dyDescent="0.25">
      <c r="A24" s="125" t="s">
        <v>34</v>
      </c>
      <c r="B24" s="126"/>
      <c r="C24" s="7"/>
      <c r="D24" s="7"/>
      <c r="E24" s="7"/>
      <c r="F24" s="7"/>
      <c r="G24" s="7"/>
      <c r="H24" s="7"/>
      <c r="I24" s="7"/>
      <c r="J24" s="7"/>
      <c r="K24" s="7"/>
      <c r="L24" s="7"/>
      <c r="M24" s="5">
        <f>SUM(C24:L24)</f>
        <v>0</v>
      </c>
      <c r="N24" s="8">
        <f>SUM((C23+1.78)*C24/39.37+(D23+1.78)*D24/39.37+(E23+1.78)*E24/39.37+(F23+1.78)*F24/39.37+(G23+1.78)*G24/39.37+(H23+1.78)*H24/39.37+(I23+1.78)*I24/39.37+(J23+1.78)*J24/39.37+(K23+1.78)*K24/39.37+(L23+1.78)*L24/39.37)</f>
        <v>0</v>
      </c>
      <c r="O24" s="47"/>
      <c r="P24" s="55">
        <f>SUM((N24*O24)%+N24)/97</f>
        <v>0</v>
      </c>
      <c r="S24" s="37">
        <f>C23</f>
        <v>0</v>
      </c>
      <c r="T24" s="38">
        <f>C36</f>
        <v>0</v>
      </c>
      <c r="U24" s="18">
        <f>((S24*T24/39.37)/32)</f>
        <v>0</v>
      </c>
      <c r="V24" s="18">
        <f>U24*4%+U24</f>
        <v>0</v>
      </c>
    </row>
    <row r="25" spans="1:22" x14ac:dyDescent="0.25">
      <c r="A25" s="127"/>
      <c r="B25" s="128"/>
      <c r="C25" s="7"/>
      <c r="D25" s="7"/>
      <c r="E25" s="7"/>
      <c r="F25" s="7"/>
      <c r="G25" s="7"/>
      <c r="H25" s="7"/>
      <c r="I25" s="7"/>
      <c r="J25" s="7"/>
      <c r="K25" s="7"/>
      <c r="L25" s="7"/>
      <c r="M25" s="5">
        <f t="shared" ref="M25:M35" si="5">SUM(C25:L25)</f>
        <v>0</v>
      </c>
      <c r="N25" s="8">
        <f>(C23+1.78)*C25/39.37+(D23+1.78)*D25/39.37+(E23+1.78)*E25/39.37+(F23+1.78)*F25/39.37+(G23+1.78)*G25/39.37+(H23+1.78)*H25/39.37+(I23+1.78)*I25/39.37+(J23+1.78)*J25/39.37+(K23+1.78)*K25/39.37+(L23+1.78)*L25/39.37</f>
        <v>0</v>
      </c>
      <c r="O25" s="47"/>
      <c r="P25" s="55">
        <f t="shared" ref="P25:P35" si="6">SUM((N25*O25)%+N25)/97</f>
        <v>0</v>
      </c>
      <c r="S25" s="37">
        <f>D23</f>
        <v>0</v>
      </c>
      <c r="T25" s="38">
        <f>D36</f>
        <v>0</v>
      </c>
      <c r="U25" s="18">
        <f t="shared" ref="U25:U33" si="7">((S25*T25/39.37)/32)</f>
        <v>0</v>
      </c>
      <c r="V25" s="18">
        <f t="shared" ref="V25:V33" si="8">U25*4%+U25</f>
        <v>0</v>
      </c>
    </row>
    <row r="26" spans="1:22" x14ac:dyDescent="0.25">
      <c r="A26" s="127"/>
      <c r="B26" s="128"/>
      <c r="C26" s="7"/>
      <c r="D26" s="7"/>
      <c r="E26" s="7"/>
      <c r="F26" s="7"/>
      <c r="G26" s="7"/>
      <c r="H26" s="7"/>
      <c r="I26" s="7"/>
      <c r="J26" s="7"/>
      <c r="K26" s="7"/>
      <c r="L26" s="7"/>
      <c r="M26" s="5">
        <f t="shared" si="5"/>
        <v>0</v>
      </c>
      <c r="N26" s="8">
        <f>(C23+1.78)*C26/39.37+(D23+1.78)*D26/39.37+(E23+1.78)*E26/39.37+(F23+1.78)*F26/39.37+(G23+1.78)*G26/39.37+(H23+1.78)*H26/39.37+(I23+1.78)*I26/39.37+(J23+1.78)*J26/39.37+(K23+1.78)*K26/39.37+(L23+1.78)*L26/39.37</f>
        <v>0</v>
      </c>
      <c r="O26" s="47"/>
      <c r="P26" s="55">
        <f t="shared" si="6"/>
        <v>0</v>
      </c>
      <c r="Q26" s="120" t="s">
        <v>41</v>
      </c>
      <c r="R26" s="120"/>
      <c r="S26" s="37">
        <f>E23</f>
        <v>0</v>
      </c>
      <c r="T26" s="38">
        <f>E36</f>
        <v>0</v>
      </c>
      <c r="U26" s="18">
        <f t="shared" si="7"/>
        <v>0</v>
      </c>
      <c r="V26" s="18">
        <f t="shared" si="8"/>
        <v>0</v>
      </c>
    </row>
    <row r="27" spans="1:22" x14ac:dyDescent="0.25">
      <c r="A27" s="127"/>
      <c r="B27" s="128"/>
      <c r="C27" s="7"/>
      <c r="D27" s="7"/>
      <c r="E27" s="7"/>
      <c r="F27" s="7"/>
      <c r="G27" s="7"/>
      <c r="H27" s="7"/>
      <c r="I27" s="7"/>
      <c r="J27" s="7"/>
      <c r="K27" s="7"/>
      <c r="L27" s="7"/>
      <c r="M27" s="5">
        <f t="shared" si="5"/>
        <v>0</v>
      </c>
      <c r="N27" s="8">
        <f>(C23+1.78)*C27/39.37+(D23+1.78)*D27/39.37+(E23+1.78)*E27/39.37+(F23+1.78)*F27/39.37+(G23+1.78)*G27/39.37+(H23+1.78)*H27/39.37+(I23+1.78)*I27/39.37+(J23+1.78)*J27/39.37+(K23+1.78)*K27/39.37+(L23+1.78)*L27/39.37</f>
        <v>0</v>
      </c>
      <c r="O27" s="47"/>
      <c r="P27" s="55">
        <f t="shared" si="6"/>
        <v>0</v>
      </c>
      <c r="Q27" s="120"/>
      <c r="R27" s="120"/>
      <c r="S27" s="37">
        <f>F23</f>
        <v>0</v>
      </c>
      <c r="T27" s="38">
        <f>F36</f>
        <v>0</v>
      </c>
      <c r="U27" s="18">
        <f t="shared" si="7"/>
        <v>0</v>
      </c>
      <c r="V27" s="18">
        <f t="shared" si="8"/>
        <v>0</v>
      </c>
    </row>
    <row r="28" spans="1:22" x14ac:dyDescent="0.25">
      <c r="A28" s="127"/>
      <c r="B28" s="128"/>
      <c r="C28" s="7"/>
      <c r="D28" s="7"/>
      <c r="E28" s="7"/>
      <c r="F28" s="7"/>
      <c r="G28" s="7"/>
      <c r="H28" s="7"/>
      <c r="I28" s="7"/>
      <c r="J28" s="7"/>
      <c r="K28" s="7"/>
      <c r="L28" s="7"/>
      <c r="M28" s="5">
        <f t="shared" si="5"/>
        <v>0</v>
      </c>
      <c r="N28" s="8">
        <f>(C23+1.78)*C28/39.37+(D23+1.78)*D28/39.37+(E23+1.78)*E28/39.37+(F23+1.78)*F28/39.37+(G23+1.78)*G28/39.37+(H23+1.78)*H28/39.37+(I23+1.78)*I28/39.37+(J23+1.78)*J28/39.37+(K23+1.78)*K28/39.37+(L23+1.78)*L28/39.37</f>
        <v>0</v>
      </c>
      <c r="O28" s="47"/>
      <c r="P28" s="55">
        <f t="shared" si="6"/>
        <v>0</v>
      </c>
      <c r="Q28" s="120"/>
      <c r="R28" s="120"/>
      <c r="S28" s="37">
        <f>G23</f>
        <v>0</v>
      </c>
      <c r="T28" s="38">
        <f>G36</f>
        <v>0</v>
      </c>
      <c r="U28" s="18">
        <f t="shared" si="7"/>
        <v>0</v>
      </c>
      <c r="V28" s="18">
        <f t="shared" si="8"/>
        <v>0</v>
      </c>
    </row>
    <row r="29" spans="1:22" x14ac:dyDescent="0.25">
      <c r="A29" s="127"/>
      <c r="B29" s="128"/>
      <c r="C29" s="7"/>
      <c r="D29" s="7"/>
      <c r="E29" s="7"/>
      <c r="F29" s="7"/>
      <c r="G29" s="7"/>
      <c r="H29" s="7"/>
      <c r="I29" s="7"/>
      <c r="J29" s="7"/>
      <c r="K29" s="7"/>
      <c r="L29" s="7"/>
      <c r="M29" s="5">
        <f t="shared" si="5"/>
        <v>0</v>
      </c>
      <c r="N29" s="8">
        <f>(C23+1.78)*C29/39.37+(D23+1.78)*D29/39.37+(E23+1.78)*E29/39.37+(F23+1.78)*F29/39.37+(G23+1.78)*G29/39.37+(H23+1.78)*H29/39.37+(I23+1.78)*I29/39.37+(J23+1.78)*J29/39.37+(K23+1.78)*K29/39.37+(L23+1.78)*L29/39.37</f>
        <v>0</v>
      </c>
      <c r="O29" s="47"/>
      <c r="P29" s="55">
        <f t="shared" si="6"/>
        <v>0</v>
      </c>
      <c r="Q29" s="120"/>
      <c r="R29" s="120"/>
      <c r="S29" s="37">
        <f>H23</f>
        <v>0</v>
      </c>
      <c r="T29" s="38">
        <f>H36</f>
        <v>0</v>
      </c>
      <c r="U29" s="18">
        <f t="shared" si="7"/>
        <v>0</v>
      </c>
      <c r="V29" s="18">
        <f t="shared" si="8"/>
        <v>0</v>
      </c>
    </row>
    <row r="30" spans="1:22" x14ac:dyDescent="0.25">
      <c r="A30" s="127"/>
      <c r="B30" s="128"/>
      <c r="C30" s="7"/>
      <c r="D30" s="7"/>
      <c r="E30" s="7"/>
      <c r="F30" s="7"/>
      <c r="G30" s="7"/>
      <c r="H30" s="7"/>
      <c r="I30" s="7"/>
      <c r="J30" s="7"/>
      <c r="K30" s="7"/>
      <c r="L30" s="7"/>
      <c r="M30" s="5">
        <f t="shared" si="5"/>
        <v>0</v>
      </c>
      <c r="N30" s="8">
        <f>(C23+1.78)*C30/39.37+(D23+1.78)*D30/39.37+(E23+1.78)*E30/39.37+(F23+1.78)*F30/39.37+(G23+1.78)*G30/39.37+(H23+1.78)*H30/39.37+(I23+1.78)*I30/39.37+(J23+1.78)*J30/39.37+(K23+1.78)*K30/39.37+(L23+1.78)*L30/39.37</f>
        <v>0</v>
      </c>
      <c r="O30" s="47"/>
      <c r="P30" s="55">
        <f t="shared" si="6"/>
        <v>0</v>
      </c>
      <c r="Q30" s="120"/>
      <c r="R30" s="120"/>
      <c r="S30" s="37">
        <f>I23</f>
        <v>0</v>
      </c>
      <c r="T30" s="38">
        <f>I36</f>
        <v>0</v>
      </c>
      <c r="U30" s="18">
        <f t="shared" si="7"/>
        <v>0</v>
      </c>
      <c r="V30" s="18">
        <f t="shared" si="8"/>
        <v>0</v>
      </c>
    </row>
    <row r="31" spans="1:22" x14ac:dyDescent="0.25">
      <c r="A31" s="127"/>
      <c r="B31" s="128"/>
      <c r="C31" s="7"/>
      <c r="D31" s="7"/>
      <c r="E31" s="7"/>
      <c r="F31" s="7"/>
      <c r="G31" s="7"/>
      <c r="H31" s="7"/>
      <c r="I31" s="7"/>
      <c r="J31" s="7"/>
      <c r="K31" s="7"/>
      <c r="L31" s="7"/>
      <c r="M31" s="5">
        <f t="shared" si="5"/>
        <v>0</v>
      </c>
      <c r="N31" s="8">
        <f>(C23+1.78)*C31/39.37+(D23+1.78)*D31/39.37+(E23+1.78)*E31/39.37+(F23+1.78)*F31/39.37+(G23+1.78)*G31/39.37+(H23+1.78)*H31/39.37+(I23+1.78)*I31/39.37+(J23+1.78)*J31/39.37+(K23+1.78)*K31/39.37+(L23+1.78)*L31/39.37</f>
        <v>0</v>
      </c>
      <c r="O31" s="47"/>
      <c r="P31" s="55">
        <f t="shared" si="6"/>
        <v>0</v>
      </c>
      <c r="S31" s="37">
        <f>J23</f>
        <v>0</v>
      </c>
      <c r="T31" s="38">
        <f>J36</f>
        <v>0</v>
      </c>
      <c r="U31" s="18">
        <f t="shared" si="7"/>
        <v>0</v>
      </c>
      <c r="V31" s="18">
        <f t="shared" si="8"/>
        <v>0</v>
      </c>
    </row>
    <row r="32" spans="1:22" x14ac:dyDescent="0.25">
      <c r="A32" s="127"/>
      <c r="B32" s="128"/>
      <c r="C32" s="7"/>
      <c r="D32" s="7"/>
      <c r="E32" s="7"/>
      <c r="F32" s="7"/>
      <c r="G32" s="7"/>
      <c r="H32" s="7"/>
      <c r="I32" s="7"/>
      <c r="J32" s="7"/>
      <c r="K32" s="7"/>
      <c r="L32" s="7"/>
      <c r="M32" s="5">
        <f t="shared" si="5"/>
        <v>0</v>
      </c>
      <c r="N32" s="8">
        <f>(C23+1.78)*C32/39.37+(D23+1.78)*D32/39.37+(E23+1.78)*E32/39.37+(F23+1.78)*F32/39.37+(G23+1.78)*G32/39.37+(H23+1.78)*H32/39.37+(I23+1.78)*I32/39.37+(J23+1.78)*J32/39.37+(K23+1.78)*K32/39.37+(L23+1.78)*L32/39.37</f>
        <v>0</v>
      </c>
      <c r="O32" s="47"/>
      <c r="P32" s="55">
        <f t="shared" si="6"/>
        <v>0</v>
      </c>
      <c r="S32" s="37">
        <f>K23</f>
        <v>0</v>
      </c>
      <c r="T32" s="38">
        <f>K36</f>
        <v>0</v>
      </c>
      <c r="U32" s="18">
        <f t="shared" si="7"/>
        <v>0</v>
      </c>
      <c r="V32" s="18">
        <f t="shared" si="8"/>
        <v>0</v>
      </c>
    </row>
    <row r="33" spans="1:22" x14ac:dyDescent="0.25">
      <c r="A33" s="127"/>
      <c r="B33" s="128"/>
      <c r="C33" s="7"/>
      <c r="D33" s="7"/>
      <c r="E33" s="7"/>
      <c r="F33" s="7"/>
      <c r="G33" s="7"/>
      <c r="H33" s="7"/>
      <c r="I33" s="7"/>
      <c r="J33" s="7"/>
      <c r="K33" s="7"/>
      <c r="L33" s="7"/>
      <c r="M33" s="5">
        <f t="shared" si="5"/>
        <v>0</v>
      </c>
      <c r="N33" s="8">
        <f>(C23+1.78)*C33/39.37+(D23+1.78)*D33/39.37+(E23+1.78)*E33/39.37+(F23+1.78)*F33/39.37+(G23+1.78)*G33/39.37+(H23+1.78)*H33/39.37+(I23+1.78)*I33/39.37+(J23+1.78)*J33/39.37+(K23+1.78)*K33/39.37+(L23+1.78)*L33/39.37</f>
        <v>0</v>
      </c>
      <c r="O33" s="47"/>
      <c r="P33" s="55">
        <f t="shared" si="6"/>
        <v>0</v>
      </c>
      <c r="S33" s="37">
        <f>L23</f>
        <v>0</v>
      </c>
      <c r="T33" s="38">
        <f>L36</f>
        <v>0</v>
      </c>
      <c r="U33" s="18">
        <f t="shared" si="7"/>
        <v>0</v>
      </c>
      <c r="V33" s="18">
        <f t="shared" si="8"/>
        <v>0</v>
      </c>
    </row>
    <row r="34" spans="1:22" x14ac:dyDescent="0.25">
      <c r="A34" s="127"/>
      <c r="B34" s="128"/>
      <c r="C34" s="7"/>
      <c r="D34" s="7"/>
      <c r="E34" s="7"/>
      <c r="F34" s="7"/>
      <c r="G34" s="7"/>
      <c r="H34" s="7"/>
      <c r="I34" s="7"/>
      <c r="J34" s="7"/>
      <c r="K34" s="7"/>
      <c r="L34" s="7"/>
      <c r="M34" s="5">
        <f t="shared" si="5"/>
        <v>0</v>
      </c>
      <c r="N34" s="8">
        <f>(C23+1.78)*C34/39.37+(D23+1.78)*D34/39.37+(E23+1.78)*E34/39.37+(F23+1.78)*F34/39.37+(G23+1.78)*G34/39.37+(H23+1.78)*H34/39.37+(I23+1.78)*I34/39.37+(J23+1.78)*J34/39.37+(K23+1.78)*K34/39.37+(L23+1.78)*L34/39.37</f>
        <v>0</v>
      </c>
      <c r="O34" s="47"/>
      <c r="P34" s="55">
        <f t="shared" si="6"/>
        <v>0</v>
      </c>
      <c r="S34" s="18"/>
      <c r="T34" s="38">
        <f>SUM(T24:T33)</f>
        <v>0</v>
      </c>
      <c r="U34" s="18"/>
      <c r="V34" s="39">
        <f>SUM(V24:V33)</f>
        <v>0</v>
      </c>
    </row>
    <row r="35" spans="1:22" ht="19.5" thickBot="1" x14ac:dyDescent="0.35">
      <c r="A35" s="127"/>
      <c r="B35" s="128"/>
      <c r="C35" s="7"/>
      <c r="D35" s="7"/>
      <c r="E35" s="7"/>
      <c r="F35" s="7"/>
      <c r="G35" s="7"/>
      <c r="H35" s="7"/>
      <c r="I35" s="7"/>
      <c r="J35" s="7"/>
      <c r="K35" s="7"/>
      <c r="L35" s="7"/>
      <c r="M35" s="5">
        <f t="shared" si="5"/>
        <v>0</v>
      </c>
      <c r="N35" s="8">
        <f>(C23+1.78)*C35/39.37+(D23+1.78)*D35/39.37+(E23+1.78)*E35/39.37+(F23+1.78)*F35/39.37+(G23+1.78)*G35/39.37+(H23+1.78)*H35/39.37+(I23+1.78)*I35/39.37+(J23+1.78)*J35/39.37+(K23+1.78)*K35/39.37+(L23+1.78)*L35/39.37</f>
        <v>0</v>
      </c>
      <c r="O35" s="47"/>
      <c r="P35" s="55">
        <f t="shared" si="6"/>
        <v>0</v>
      </c>
      <c r="Q35" s="149" t="s">
        <v>51</v>
      </c>
      <c r="R35" s="149"/>
    </row>
    <row r="36" spans="1:22" x14ac:dyDescent="0.25">
      <c r="A36" s="127"/>
      <c r="B36" s="128"/>
      <c r="C36" s="106">
        <f>SUM(C24:C35)</f>
        <v>0</v>
      </c>
      <c r="D36" s="106">
        <f t="shared" ref="D36:M36" si="9">SUM(D24:D35)</f>
        <v>0</v>
      </c>
      <c r="E36" s="106">
        <f t="shared" si="9"/>
        <v>0</v>
      </c>
      <c r="F36" s="106">
        <f t="shared" si="9"/>
        <v>0</v>
      </c>
      <c r="G36" s="106">
        <f t="shared" si="9"/>
        <v>0</v>
      </c>
      <c r="H36" s="106">
        <f t="shared" si="9"/>
        <v>0</v>
      </c>
      <c r="I36" s="106">
        <f t="shared" si="9"/>
        <v>0</v>
      </c>
      <c r="J36" s="106">
        <f t="shared" si="9"/>
        <v>0</v>
      </c>
      <c r="K36" s="106">
        <f>SUM(K24:K35)</f>
        <v>0</v>
      </c>
      <c r="L36" s="106">
        <f t="shared" si="9"/>
        <v>0</v>
      </c>
      <c r="M36" s="106">
        <f t="shared" si="9"/>
        <v>0</v>
      </c>
      <c r="N36" s="4"/>
      <c r="O36" s="115" t="s">
        <v>56</v>
      </c>
      <c r="P36" s="113">
        <f>SUM(P24:P35)</f>
        <v>0</v>
      </c>
      <c r="Q36" s="56">
        <f>M36</f>
        <v>0</v>
      </c>
      <c r="R36" s="43">
        <f>Q36*0.22/1000</f>
        <v>0</v>
      </c>
    </row>
    <row r="37" spans="1:22" ht="15.75" thickBot="1" x14ac:dyDescent="0.3">
      <c r="A37" s="129"/>
      <c r="B37" s="130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4"/>
      <c r="O37" s="115"/>
      <c r="P37" s="131"/>
      <c r="Q37" s="57"/>
      <c r="R37" s="44"/>
      <c r="T37" s="119" t="s">
        <v>52</v>
      </c>
      <c r="U37" s="119"/>
    </row>
    <row r="38" spans="1:22" x14ac:dyDescent="0.25">
      <c r="T38" s="40">
        <f>M36</f>
        <v>0</v>
      </c>
      <c r="U38" s="45">
        <f>T38*2.5%+M36</f>
        <v>0</v>
      </c>
    </row>
  </sheetData>
  <mergeCells count="42">
    <mergeCell ref="Q6:R10"/>
    <mergeCell ref="Q26:R30"/>
    <mergeCell ref="T2:U2"/>
    <mergeCell ref="T22:U22"/>
    <mergeCell ref="J36:J37"/>
    <mergeCell ref="K36:K37"/>
    <mergeCell ref="L36:L37"/>
    <mergeCell ref="M36:M37"/>
    <mergeCell ref="Q16:R16"/>
    <mergeCell ref="Q35:R35"/>
    <mergeCell ref="T37:U37"/>
    <mergeCell ref="T16:U16"/>
    <mergeCell ref="P17:P18"/>
    <mergeCell ref="O17:O18"/>
    <mergeCell ref="P36:P37"/>
    <mergeCell ref="O36:O37"/>
    <mergeCell ref="F1:H2"/>
    <mergeCell ref="F20:H21"/>
    <mergeCell ref="I36:I37"/>
    <mergeCell ref="L17:L18"/>
    <mergeCell ref="M17:M18"/>
    <mergeCell ref="D36:D37"/>
    <mergeCell ref="E36:E37"/>
    <mergeCell ref="F36:F37"/>
    <mergeCell ref="G36:G37"/>
    <mergeCell ref="H36:H37"/>
    <mergeCell ref="A3:B4"/>
    <mergeCell ref="D3:L3"/>
    <mergeCell ref="C36:C37"/>
    <mergeCell ref="A24:B37"/>
    <mergeCell ref="A22:B23"/>
    <mergeCell ref="D22:L22"/>
    <mergeCell ref="F17:F18"/>
    <mergeCell ref="G17:G18"/>
    <mergeCell ref="H17:H18"/>
    <mergeCell ref="I17:I18"/>
    <mergeCell ref="J17:J18"/>
    <mergeCell ref="K17:K18"/>
    <mergeCell ref="E17:E18"/>
    <mergeCell ref="A5:B18"/>
    <mergeCell ref="C17:C18"/>
    <mergeCell ref="D17:D18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U29"/>
  <sheetViews>
    <sheetView workbookViewId="0">
      <selection activeCell="H4" sqref="H4"/>
    </sheetView>
  </sheetViews>
  <sheetFormatPr defaultRowHeight="15" x14ac:dyDescent="0.25"/>
  <sheetData>
    <row r="1" spans="1:21" ht="15.75" thickBot="1" x14ac:dyDescent="0.3"/>
    <row r="2" spans="1:21" ht="21" thickBot="1" x14ac:dyDescent="0.35">
      <c r="A2" s="160" t="s">
        <v>16</v>
      </c>
      <c r="B2" s="161"/>
      <c r="C2" s="161"/>
      <c r="D2" s="161"/>
      <c r="E2" s="161"/>
      <c r="F2" s="162"/>
      <c r="H2" s="160" t="s">
        <v>17</v>
      </c>
      <c r="I2" s="161"/>
      <c r="J2" s="161"/>
      <c r="K2" s="161"/>
      <c r="L2" s="161"/>
      <c r="M2" s="162"/>
    </row>
    <row r="3" spans="1:21" x14ac:dyDescent="0.25">
      <c r="A3" s="9" t="s">
        <v>18</v>
      </c>
      <c r="B3" s="9" t="s">
        <v>19</v>
      </c>
      <c r="C3" s="9" t="s">
        <v>20</v>
      </c>
      <c r="D3" s="163" t="s">
        <v>21</v>
      </c>
      <c r="E3" s="163"/>
      <c r="F3" s="163"/>
      <c r="H3" s="9" t="s">
        <v>18</v>
      </c>
      <c r="I3" s="9" t="s">
        <v>19</v>
      </c>
      <c r="J3" s="9" t="s">
        <v>20</v>
      </c>
      <c r="K3" s="163" t="s">
        <v>21</v>
      </c>
      <c r="L3" s="163"/>
      <c r="M3" s="163"/>
    </row>
    <row r="4" spans="1:21" x14ac:dyDescent="0.25">
      <c r="A4" s="10"/>
      <c r="B4" s="11"/>
      <c r="C4" s="12">
        <f t="shared" ref="C4:C18" si="0">A4*B4/39.37</f>
        <v>0</v>
      </c>
      <c r="D4" s="13">
        <f>C4/32</f>
        <v>0</v>
      </c>
      <c r="E4" s="13">
        <f>D4*4%</f>
        <v>0</v>
      </c>
      <c r="F4" s="13">
        <f>D4+E4</f>
        <v>0</v>
      </c>
      <c r="G4" s="14"/>
      <c r="H4" s="10"/>
      <c r="I4" s="11"/>
      <c r="J4" s="12">
        <f>H4*I4/100</f>
        <v>0</v>
      </c>
      <c r="K4" s="13">
        <f>J4/27.73</f>
        <v>0</v>
      </c>
      <c r="L4" s="13">
        <f>K4*4%</f>
        <v>0</v>
      </c>
      <c r="M4" s="13">
        <f>K4+L4</f>
        <v>0</v>
      </c>
    </row>
    <row r="5" spans="1:21" x14ac:dyDescent="0.25">
      <c r="A5" s="10"/>
      <c r="B5" s="11"/>
      <c r="C5" s="12">
        <f t="shared" si="0"/>
        <v>0</v>
      </c>
      <c r="D5" s="13">
        <f t="shared" ref="D5:D18" si="1">C5/32</f>
        <v>0</v>
      </c>
      <c r="E5" s="13">
        <f t="shared" ref="E5:E18" si="2">D5*4%</f>
        <v>0</v>
      </c>
      <c r="F5" s="13">
        <f t="shared" ref="F5:F18" si="3">D5+E5</f>
        <v>0</v>
      </c>
      <c r="H5" s="10"/>
      <c r="I5" s="11"/>
      <c r="J5" s="12">
        <f t="shared" ref="J5:J18" si="4">H5*I5/100</f>
        <v>0</v>
      </c>
      <c r="K5" s="13">
        <f t="shared" ref="K5:K18" si="5">J5/27.73</f>
        <v>0</v>
      </c>
      <c r="L5" s="13">
        <f t="shared" ref="L5:L18" si="6">K5*4%</f>
        <v>0</v>
      </c>
      <c r="M5" s="13">
        <f t="shared" ref="M5:M18" si="7">K5+L5</f>
        <v>0</v>
      </c>
    </row>
    <row r="6" spans="1:21" x14ac:dyDescent="0.25">
      <c r="A6" s="10"/>
      <c r="B6" s="11"/>
      <c r="C6" s="12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H6" s="10"/>
      <c r="I6" s="11"/>
      <c r="J6" s="12">
        <f t="shared" si="4"/>
        <v>0</v>
      </c>
      <c r="K6" s="13">
        <f t="shared" si="5"/>
        <v>0</v>
      </c>
      <c r="L6" s="13">
        <f t="shared" si="6"/>
        <v>0</v>
      </c>
      <c r="M6" s="13">
        <f t="shared" si="7"/>
        <v>0</v>
      </c>
      <c r="P6" s="150" t="s">
        <v>22</v>
      </c>
      <c r="Q6" s="150"/>
      <c r="R6" s="150"/>
      <c r="S6" s="150"/>
      <c r="T6" s="150"/>
      <c r="U6" s="150"/>
    </row>
    <row r="7" spans="1:21" x14ac:dyDescent="0.25">
      <c r="A7" s="10"/>
      <c r="B7" s="11"/>
      <c r="C7" s="12">
        <f t="shared" si="0"/>
        <v>0</v>
      </c>
      <c r="D7" s="13">
        <f t="shared" si="1"/>
        <v>0</v>
      </c>
      <c r="E7" s="13">
        <f t="shared" si="2"/>
        <v>0</v>
      </c>
      <c r="F7" s="13">
        <f t="shared" si="3"/>
        <v>0</v>
      </c>
      <c r="H7" s="10"/>
      <c r="I7" s="11"/>
      <c r="J7" s="12">
        <f t="shared" si="4"/>
        <v>0</v>
      </c>
      <c r="K7" s="13">
        <f t="shared" si="5"/>
        <v>0</v>
      </c>
      <c r="L7" s="13">
        <f t="shared" si="6"/>
        <v>0</v>
      </c>
      <c r="M7" s="13">
        <f t="shared" si="7"/>
        <v>0</v>
      </c>
      <c r="P7" s="150"/>
      <c r="Q7" s="150"/>
      <c r="R7" s="150"/>
      <c r="S7" s="150"/>
      <c r="T7" s="150"/>
      <c r="U7" s="150"/>
    </row>
    <row r="8" spans="1:21" x14ac:dyDescent="0.25">
      <c r="A8" s="10"/>
      <c r="B8" s="11"/>
      <c r="C8" s="12">
        <f t="shared" si="0"/>
        <v>0</v>
      </c>
      <c r="D8" s="13">
        <f t="shared" si="1"/>
        <v>0</v>
      </c>
      <c r="E8" s="13">
        <f t="shared" si="2"/>
        <v>0</v>
      </c>
      <c r="F8" s="13">
        <f t="shared" si="3"/>
        <v>0</v>
      </c>
      <c r="H8" s="10"/>
      <c r="I8" s="11"/>
      <c r="J8" s="12">
        <f t="shared" si="4"/>
        <v>0</v>
      </c>
      <c r="K8" s="13">
        <f t="shared" si="5"/>
        <v>0</v>
      </c>
      <c r="L8" s="13">
        <f t="shared" si="6"/>
        <v>0</v>
      </c>
      <c r="M8" s="13">
        <f t="shared" si="7"/>
        <v>0</v>
      </c>
      <c r="P8" s="150"/>
      <c r="Q8" s="150"/>
      <c r="R8" s="150"/>
      <c r="S8" s="150"/>
      <c r="T8" s="150"/>
      <c r="U8" s="150"/>
    </row>
    <row r="9" spans="1:21" x14ac:dyDescent="0.25">
      <c r="A9" s="10"/>
      <c r="B9" s="11"/>
      <c r="C9" s="12">
        <f t="shared" si="0"/>
        <v>0</v>
      </c>
      <c r="D9" s="13">
        <f t="shared" si="1"/>
        <v>0</v>
      </c>
      <c r="E9" s="13">
        <f t="shared" si="2"/>
        <v>0</v>
      </c>
      <c r="F9" s="13">
        <f t="shared" si="3"/>
        <v>0</v>
      </c>
      <c r="H9" s="10"/>
      <c r="I9" s="11"/>
      <c r="J9" s="12">
        <f t="shared" si="4"/>
        <v>0</v>
      </c>
      <c r="K9" s="13">
        <f t="shared" si="5"/>
        <v>0</v>
      </c>
      <c r="L9" s="13">
        <f t="shared" si="6"/>
        <v>0</v>
      </c>
      <c r="M9" s="13">
        <f t="shared" si="7"/>
        <v>0</v>
      </c>
      <c r="P9" s="150"/>
      <c r="Q9" s="150"/>
      <c r="R9" s="150"/>
      <c r="S9" s="150"/>
      <c r="T9" s="150"/>
      <c r="U9" s="150"/>
    </row>
    <row r="10" spans="1:21" x14ac:dyDescent="0.25">
      <c r="A10" s="10"/>
      <c r="B10" s="11"/>
      <c r="C10" s="12">
        <f t="shared" si="0"/>
        <v>0</v>
      </c>
      <c r="D10" s="13">
        <f t="shared" si="1"/>
        <v>0</v>
      </c>
      <c r="E10" s="13">
        <f t="shared" si="2"/>
        <v>0</v>
      </c>
      <c r="F10" s="13">
        <f>D10+E10</f>
        <v>0</v>
      </c>
      <c r="H10" s="10"/>
      <c r="I10" s="11"/>
      <c r="J10" s="12">
        <f t="shared" si="4"/>
        <v>0</v>
      </c>
      <c r="K10" s="13">
        <f t="shared" si="5"/>
        <v>0</v>
      </c>
      <c r="L10" s="13">
        <f t="shared" si="6"/>
        <v>0</v>
      </c>
      <c r="M10" s="13">
        <f t="shared" si="7"/>
        <v>0</v>
      </c>
      <c r="P10" s="150"/>
      <c r="Q10" s="150"/>
      <c r="R10" s="150"/>
      <c r="S10" s="150"/>
      <c r="T10" s="150"/>
      <c r="U10" s="150"/>
    </row>
    <row r="11" spans="1:21" x14ac:dyDescent="0.25">
      <c r="A11" s="10"/>
      <c r="B11" s="11"/>
      <c r="C11" s="12">
        <f t="shared" si="0"/>
        <v>0</v>
      </c>
      <c r="D11" s="13">
        <f t="shared" si="1"/>
        <v>0</v>
      </c>
      <c r="E11" s="13">
        <f t="shared" si="2"/>
        <v>0</v>
      </c>
      <c r="F11" s="13">
        <f t="shared" si="3"/>
        <v>0</v>
      </c>
      <c r="H11" s="10"/>
      <c r="I11" s="11"/>
      <c r="J11" s="12">
        <f t="shared" si="4"/>
        <v>0</v>
      </c>
      <c r="K11" s="13">
        <f t="shared" si="5"/>
        <v>0</v>
      </c>
      <c r="L11" s="13">
        <f t="shared" si="6"/>
        <v>0</v>
      </c>
      <c r="M11" s="13">
        <f t="shared" si="7"/>
        <v>0</v>
      </c>
      <c r="P11" s="150"/>
      <c r="Q11" s="150"/>
      <c r="R11" s="150"/>
      <c r="S11" s="150"/>
      <c r="T11" s="150"/>
      <c r="U11" s="150"/>
    </row>
    <row r="12" spans="1:21" x14ac:dyDescent="0.25">
      <c r="A12" s="10"/>
      <c r="B12" s="11"/>
      <c r="C12" s="12">
        <f t="shared" si="0"/>
        <v>0</v>
      </c>
      <c r="D12" s="13">
        <f t="shared" si="1"/>
        <v>0</v>
      </c>
      <c r="E12" s="13">
        <f t="shared" si="2"/>
        <v>0</v>
      </c>
      <c r="F12" s="13">
        <f t="shared" si="3"/>
        <v>0</v>
      </c>
      <c r="H12" s="10"/>
      <c r="I12" s="11"/>
      <c r="J12" s="12">
        <f t="shared" si="4"/>
        <v>0</v>
      </c>
      <c r="K12" s="13">
        <f t="shared" si="5"/>
        <v>0</v>
      </c>
      <c r="L12" s="13">
        <f t="shared" si="6"/>
        <v>0</v>
      </c>
      <c r="M12" s="13">
        <f t="shared" si="7"/>
        <v>0</v>
      </c>
      <c r="P12" s="150"/>
      <c r="Q12" s="150"/>
      <c r="R12" s="150"/>
      <c r="S12" s="150"/>
      <c r="T12" s="150"/>
      <c r="U12" s="150"/>
    </row>
    <row r="13" spans="1:21" x14ac:dyDescent="0.25">
      <c r="A13" s="10"/>
      <c r="B13" s="11"/>
      <c r="C13" s="12">
        <f t="shared" si="0"/>
        <v>0</v>
      </c>
      <c r="D13" s="13">
        <f t="shared" si="1"/>
        <v>0</v>
      </c>
      <c r="E13" s="13">
        <f t="shared" si="2"/>
        <v>0</v>
      </c>
      <c r="F13" s="13">
        <f t="shared" si="3"/>
        <v>0</v>
      </c>
      <c r="H13" s="10"/>
      <c r="I13" s="11"/>
      <c r="J13" s="12">
        <f t="shared" si="4"/>
        <v>0</v>
      </c>
      <c r="K13" s="13">
        <f t="shared" si="5"/>
        <v>0</v>
      </c>
      <c r="L13" s="13">
        <f t="shared" si="6"/>
        <v>0</v>
      </c>
      <c r="M13" s="13">
        <f t="shared" si="7"/>
        <v>0</v>
      </c>
      <c r="P13" s="150"/>
      <c r="Q13" s="150"/>
      <c r="R13" s="150"/>
      <c r="S13" s="150"/>
      <c r="T13" s="150"/>
      <c r="U13" s="150"/>
    </row>
    <row r="14" spans="1:21" x14ac:dyDescent="0.25">
      <c r="A14" s="10"/>
      <c r="B14" s="11"/>
      <c r="C14" s="12">
        <f t="shared" si="0"/>
        <v>0</v>
      </c>
      <c r="D14" s="13">
        <f t="shared" si="1"/>
        <v>0</v>
      </c>
      <c r="E14" s="13">
        <f t="shared" si="2"/>
        <v>0</v>
      </c>
      <c r="F14" s="13">
        <f t="shared" si="3"/>
        <v>0</v>
      </c>
      <c r="H14" s="10"/>
      <c r="I14" s="11"/>
      <c r="J14" s="12">
        <f t="shared" si="4"/>
        <v>0</v>
      </c>
      <c r="K14" s="13">
        <f t="shared" si="5"/>
        <v>0</v>
      </c>
      <c r="L14" s="13">
        <f t="shared" si="6"/>
        <v>0</v>
      </c>
      <c r="M14" s="13">
        <f t="shared" si="7"/>
        <v>0</v>
      </c>
      <c r="P14" s="150"/>
      <c r="Q14" s="150"/>
      <c r="R14" s="150"/>
      <c r="S14" s="150"/>
      <c r="T14" s="150"/>
      <c r="U14" s="150"/>
    </row>
    <row r="15" spans="1:21" x14ac:dyDescent="0.25">
      <c r="A15" s="10"/>
      <c r="B15" s="11"/>
      <c r="C15" s="12">
        <f t="shared" si="0"/>
        <v>0</v>
      </c>
      <c r="D15" s="13">
        <f t="shared" si="1"/>
        <v>0</v>
      </c>
      <c r="E15" s="13">
        <f t="shared" si="2"/>
        <v>0</v>
      </c>
      <c r="F15" s="13">
        <f t="shared" si="3"/>
        <v>0</v>
      </c>
      <c r="H15" s="10"/>
      <c r="I15" s="11"/>
      <c r="J15" s="12">
        <f t="shared" si="4"/>
        <v>0</v>
      </c>
      <c r="K15" s="13">
        <f t="shared" si="5"/>
        <v>0</v>
      </c>
      <c r="L15" s="13">
        <f t="shared" si="6"/>
        <v>0</v>
      </c>
      <c r="M15" s="13">
        <f t="shared" si="7"/>
        <v>0</v>
      </c>
      <c r="P15" s="150"/>
      <c r="Q15" s="150"/>
      <c r="R15" s="150"/>
      <c r="S15" s="150"/>
      <c r="T15" s="150"/>
      <c r="U15" s="150"/>
    </row>
    <row r="16" spans="1:21" x14ac:dyDescent="0.25">
      <c r="A16" s="10"/>
      <c r="B16" s="11"/>
      <c r="C16" s="12">
        <f t="shared" si="0"/>
        <v>0</v>
      </c>
      <c r="D16" s="13">
        <f t="shared" si="1"/>
        <v>0</v>
      </c>
      <c r="E16" s="13">
        <f t="shared" si="2"/>
        <v>0</v>
      </c>
      <c r="F16" s="13">
        <f t="shared" si="3"/>
        <v>0</v>
      </c>
      <c r="H16" s="10"/>
      <c r="I16" s="11"/>
      <c r="J16" s="12">
        <f t="shared" si="4"/>
        <v>0</v>
      </c>
      <c r="K16" s="13">
        <f t="shared" si="5"/>
        <v>0</v>
      </c>
      <c r="L16" s="13">
        <f t="shared" si="6"/>
        <v>0</v>
      </c>
      <c r="M16" s="13">
        <f t="shared" si="7"/>
        <v>0</v>
      </c>
      <c r="P16" s="150"/>
      <c r="Q16" s="150"/>
      <c r="R16" s="150"/>
      <c r="S16" s="150"/>
      <c r="T16" s="150"/>
      <c r="U16" s="150"/>
    </row>
    <row r="17" spans="1:21" x14ac:dyDescent="0.25">
      <c r="A17" s="10"/>
      <c r="B17" s="11"/>
      <c r="C17" s="12">
        <f t="shared" si="0"/>
        <v>0</v>
      </c>
      <c r="D17" s="13">
        <f t="shared" si="1"/>
        <v>0</v>
      </c>
      <c r="E17" s="13">
        <f t="shared" si="2"/>
        <v>0</v>
      </c>
      <c r="F17" s="13">
        <f t="shared" si="3"/>
        <v>0</v>
      </c>
      <c r="H17" s="10"/>
      <c r="I17" s="11"/>
      <c r="J17" s="12">
        <f t="shared" si="4"/>
        <v>0</v>
      </c>
      <c r="K17" s="13">
        <f t="shared" si="5"/>
        <v>0</v>
      </c>
      <c r="L17" s="13">
        <f t="shared" si="6"/>
        <v>0</v>
      </c>
      <c r="M17" s="13">
        <f t="shared" si="7"/>
        <v>0</v>
      </c>
      <c r="P17" s="150"/>
      <c r="Q17" s="150"/>
      <c r="R17" s="150"/>
      <c r="S17" s="150"/>
      <c r="T17" s="150"/>
      <c r="U17" s="150"/>
    </row>
    <row r="18" spans="1:21" x14ac:dyDescent="0.25">
      <c r="A18" s="10"/>
      <c r="B18" s="11"/>
      <c r="C18" s="12">
        <f t="shared" si="0"/>
        <v>0</v>
      </c>
      <c r="D18" s="13">
        <f t="shared" si="1"/>
        <v>0</v>
      </c>
      <c r="E18" s="13">
        <f t="shared" si="2"/>
        <v>0</v>
      </c>
      <c r="F18" s="13">
        <f t="shared" si="3"/>
        <v>0</v>
      </c>
      <c r="H18" s="10"/>
      <c r="I18" s="11"/>
      <c r="J18" s="12">
        <f t="shared" si="4"/>
        <v>0</v>
      </c>
      <c r="K18" s="13">
        <f t="shared" si="5"/>
        <v>0</v>
      </c>
      <c r="L18" s="13">
        <f t="shared" si="6"/>
        <v>0</v>
      </c>
      <c r="M18" s="13">
        <f t="shared" si="7"/>
        <v>0</v>
      </c>
      <c r="P18" s="150"/>
      <c r="Q18" s="150"/>
      <c r="R18" s="150"/>
      <c r="S18" s="150"/>
      <c r="T18" s="150"/>
      <c r="U18" s="150"/>
    </row>
    <row r="19" spans="1:21" x14ac:dyDescent="0.25">
      <c r="A19" s="15"/>
      <c r="B19" s="16">
        <f>SUM(B4:B18)</f>
        <v>0</v>
      </c>
      <c r="C19" s="17">
        <f>SUM(C4:C18)</f>
        <v>0</v>
      </c>
      <c r="D19" s="18"/>
      <c r="E19" s="18"/>
      <c r="F19" s="17">
        <f>SUM(F4:F18)</f>
        <v>0</v>
      </c>
      <c r="H19" s="15"/>
      <c r="I19" s="16">
        <f>SUM(I4:I18)</f>
        <v>0</v>
      </c>
      <c r="J19" s="17">
        <f>SUM(J4:J18)</f>
        <v>0</v>
      </c>
      <c r="K19" s="18"/>
      <c r="L19" s="18"/>
      <c r="M19" s="17">
        <f>SUM(M4:M18)</f>
        <v>0</v>
      </c>
      <c r="P19" s="150"/>
      <c r="Q19" s="150"/>
      <c r="R19" s="150"/>
      <c r="S19" s="150"/>
      <c r="T19" s="150"/>
      <c r="U19" s="150"/>
    </row>
    <row r="20" spans="1:21" x14ac:dyDescent="0.25">
      <c r="P20" s="150"/>
      <c r="Q20" s="150"/>
      <c r="R20" s="150"/>
      <c r="S20" s="150"/>
      <c r="T20" s="150"/>
      <c r="U20" s="150"/>
    </row>
    <row r="21" spans="1:21" x14ac:dyDescent="0.25">
      <c r="P21" s="150"/>
      <c r="Q21" s="150"/>
      <c r="R21" s="150"/>
      <c r="S21" s="150"/>
      <c r="T21" s="150"/>
      <c r="U21" s="150"/>
    </row>
    <row r="22" spans="1:21" ht="15.75" thickBot="1" x14ac:dyDescent="0.3"/>
    <row r="23" spans="1:21" x14ac:dyDescent="0.25">
      <c r="G23" s="151" t="s">
        <v>22</v>
      </c>
      <c r="H23" s="152"/>
      <c r="I23" s="152"/>
      <c r="J23" s="153"/>
    </row>
    <row r="24" spans="1:21" x14ac:dyDescent="0.25">
      <c r="G24" s="154"/>
      <c r="H24" s="155"/>
      <c r="I24" s="155"/>
      <c r="J24" s="156"/>
    </row>
    <row r="25" spans="1:21" x14ac:dyDescent="0.25">
      <c r="G25" s="154"/>
      <c r="H25" s="155"/>
      <c r="I25" s="155"/>
      <c r="J25" s="156"/>
    </row>
    <row r="26" spans="1:21" x14ac:dyDescent="0.25">
      <c r="G26" s="154"/>
      <c r="H26" s="155"/>
      <c r="I26" s="155"/>
      <c r="J26" s="156"/>
    </row>
    <row r="27" spans="1:21" x14ac:dyDescent="0.25">
      <c r="G27" s="154"/>
      <c r="H27" s="155"/>
      <c r="I27" s="155"/>
      <c r="J27" s="156"/>
    </row>
    <row r="28" spans="1:21" x14ac:dyDescent="0.25">
      <c r="G28" s="154"/>
      <c r="H28" s="155"/>
      <c r="I28" s="155"/>
      <c r="J28" s="156"/>
    </row>
    <row r="29" spans="1:21" ht="15.75" thickBot="1" x14ac:dyDescent="0.3">
      <c r="G29" s="157"/>
      <c r="H29" s="158"/>
      <c r="I29" s="158"/>
      <c r="J29" s="159"/>
    </row>
  </sheetData>
  <mergeCells count="6">
    <mergeCell ref="P6:U21"/>
    <mergeCell ref="G23:J29"/>
    <mergeCell ref="A2:F2"/>
    <mergeCell ref="H2:M2"/>
    <mergeCell ref="D3:F3"/>
    <mergeCell ref="K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U36"/>
  <sheetViews>
    <sheetView workbookViewId="0">
      <selection activeCell="C3" sqref="C3"/>
    </sheetView>
  </sheetViews>
  <sheetFormatPr defaultRowHeight="15" x14ac:dyDescent="0.25"/>
  <cols>
    <col min="1" max="1" width="7.140625" customWidth="1"/>
    <col min="2" max="2" width="4" customWidth="1"/>
    <col min="13" max="13" width="10.28515625" customWidth="1"/>
    <col min="15" max="15" width="7.140625" customWidth="1"/>
    <col min="16" max="16" width="11.85546875" customWidth="1"/>
  </cols>
  <sheetData>
    <row r="1" spans="1:21" ht="15.75" thickBot="1" x14ac:dyDescent="0.3"/>
    <row r="2" spans="1:21" ht="15.75" thickBot="1" x14ac:dyDescent="0.3">
      <c r="A2" s="123" t="s">
        <v>17</v>
      </c>
      <c r="B2" s="123"/>
      <c r="C2" s="6" t="s">
        <v>0</v>
      </c>
      <c r="D2" s="102"/>
      <c r="E2" s="103"/>
      <c r="F2" s="103"/>
      <c r="G2" s="103"/>
      <c r="H2" s="103"/>
      <c r="I2" s="103"/>
      <c r="J2" s="103"/>
      <c r="K2" s="103"/>
      <c r="L2" s="105"/>
      <c r="M2" s="3"/>
      <c r="N2" s="2" t="s">
        <v>1</v>
      </c>
      <c r="O2" s="46"/>
      <c r="T2" s="164" t="s">
        <v>77</v>
      </c>
      <c r="U2" s="165"/>
    </row>
    <row r="3" spans="1:21" x14ac:dyDescent="0.25">
      <c r="A3" s="123"/>
      <c r="B3" s="123"/>
      <c r="C3" s="36"/>
      <c r="D3" s="36"/>
      <c r="E3" s="36"/>
      <c r="F3" s="36"/>
      <c r="G3" s="36"/>
      <c r="H3" s="36"/>
      <c r="I3" s="36"/>
      <c r="J3" s="36"/>
      <c r="K3" s="36"/>
      <c r="L3" s="36"/>
      <c r="M3" s="1" t="s">
        <v>2</v>
      </c>
      <c r="N3" s="2" t="s">
        <v>3</v>
      </c>
      <c r="O3" s="50" t="s">
        <v>55</v>
      </c>
      <c r="P3" s="51" t="s">
        <v>53</v>
      </c>
      <c r="Q3" s="107" t="s">
        <v>6</v>
      </c>
      <c r="R3" s="108"/>
      <c r="S3" s="109"/>
      <c r="T3" s="33" t="s">
        <v>78</v>
      </c>
      <c r="U3" s="83" t="s">
        <v>26</v>
      </c>
    </row>
    <row r="4" spans="1:21" ht="15.75" thickBot="1" x14ac:dyDescent="0.3">
      <c r="A4" s="125" t="s">
        <v>35</v>
      </c>
      <c r="B4" s="126"/>
      <c r="C4" s="7"/>
      <c r="D4" s="7"/>
      <c r="E4" s="7"/>
      <c r="F4" s="7"/>
      <c r="G4" s="7"/>
      <c r="H4" s="7"/>
      <c r="I4" s="7"/>
      <c r="J4" s="7"/>
      <c r="K4" s="7"/>
      <c r="L4" s="7"/>
      <c r="M4" s="5">
        <f>SUM(C4:L4)</f>
        <v>0</v>
      </c>
      <c r="N4" s="8">
        <f>SUM((C3+5)*C4/100+(D3+5)*D4/100+(E3+5)*E4/100+(F3+5)*F4/100+(G3+5)*G4/100+(H3+5)*H4/100+(I3+5)*I4/100+(J3+5)*J4/100+(K3+5)*K4/100+(L3+5)*L4/100)</f>
        <v>0</v>
      </c>
      <c r="O4" s="47"/>
      <c r="P4" s="53">
        <f>SUM((N4*O4)%+N4)/71</f>
        <v>0</v>
      </c>
      <c r="Q4" s="110"/>
      <c r="R4" s="111"/>
      <c r="S4" s="112"/>
      <c r="T4" s="68">
        <f>M16</f>
        <v>0</v>
      </c>
      <c r="U4" s="24">
        <f>SUM(T4*0.32)/1000</f>
        <v>0</v>
      </c>
    </row>
    <row r="5" spans="1:21" x14ac:dyDescent="0.25">
      <c r="A5" s="127"/>
      <c r="B5" s="128"/>
      <c r="C5" s="7"/>
      <c r="D5" s="7"/>
      <c r="E5" s="7"/>
      <c r="F5" s="7"/>
      <c r="G5" s="7"/>
      <c r="H5" s="7"/>
      <c r="I5" s="7"/>
      <c r="J5" s="7"/>
      <c r="K5" s="7"/>
      <c r="L5" s="7"/>
      <c r="M5" s="5">
        <f t="shared" ref="M5:M15" si="0">SUM(C5:L5)</f>
        <v>0</v>
      </c>
      <c r="N5" s="8">
        <f>SUM((C3+5)*C5/100+(D3+5)*D5/100+(E3+5)*E5/100+(F3+5)*F5/100+(G3+5)*G5/100+(H3+5)*H5/100+(I3+5)*I5/100+(J3+5)*J5/100+(K3+5)*K5/100+(L3+5)*L5/100)</f>
        <v>0</v>
      </c>
      <c r="O5" s="47"/>
      <c r="P5" s="53">
        <f t="shared" ref="P5:P15" si="1">SUM((N5*O5)%+N5)/71</f>
        <v>0</v>
      </c>
      <c r="T5" s="68">
        <f>M35</f>
        <v>0</v>
      </c>
      <c r="U5" s="24">
        <f>SUM(T5*0.32)/1000</f>
        <v>0</v>
      </c>
    </row>
    <row r="6" spans="1:21" x14ac:dyDescent="0.25">
      <c r="A6" s="127"/>
      <c r="B6" s="128"/>
      <c r="C6" s="7"/>
      <c r="D6" s="7"/>
      <c r="E6" s="7"/>
      <c r="F6" s="7"/>
      <c r="G6" s="7"/>
      <c r="H6" s="7"/>
      <c r="I6" s="7"/>
      <c r="J6" s="7"/>
      <c r="K6" s="7"/>
      <c r="L6" s="7"/>
      <c r="M6" s="5">
        <f t="shared" si="0"/>
        <v>0</v>
      </c>
      <c r="N6" s="8">
        <f>SUM((C3+5)*C6/100+(D3+5)*D6/100+(E3+5)*E6/100+(F3+5)*F6/100+(G3+5)*G6/100+(H3+5)*H6/100+(I3+5)*I6/100+(J3+5)*J6/100+(K3+5)*K6/100+(L3+5)*L6/100)</f>
        <v>0</v>
      </c>
      <c r="O6" s="47"/>
      <c r="P6" s="53">
        <f t="shared" si="1"/>
        <v>0</v>
      </c>
      <c r="T6" s="68"/>
      <c r="U6" s="74"/>
    </row>
    <row r="7" spans="1:21" x14ac:dyDescent="0.25">
      <c r="A7" s="127"/>
      <c r="B7" s="128"/>
      <c r="C7" s="7"/>
      <c r="D7" s="7"/>
      <c r="E7" s="7"/>
      <c r="F7" s="7"/>
      <c r="G7" s="7"/>
      <c r="H7" s="7"/>
      <c r="I7" s="7"/>
      <c r="J7" s="7"/>
      <c r="K7" s="7"/>
      <c r="L7" s="7"/>
      <c r="M7" s="5">
        <f t="shared" si="0"/>
        <v>0</v>
      </c>
      <c r="N7" s="8">
        <f>SUM((C3+5)*C7/100+(D3+5)*D7/100+(E3+5)*E7/100+(F3+5)*F7/100+(G3+5)*G7/100+(H3+5)*H7/100+(I3+5)*I7/100+(J3+5)*J7/100+(K3+5)*K7/100+(L3+5)*L7/100)</f>
        <v>0</v>
      </c>
      <c r="O7" s="47"/>
      <c r="P7" s="53">
        <f t="shared" si="1"/>
        <v>0</v>
      </c>
      <c r="Q7" s="120" t="s">
        <v>38</v>
      </c>
      <c r="R7" s="120"/>
      <c r="T7" s="71"/>
      <c r="U7" s="80"/>
    </row>
    <row r="8" spans="1:21" x14ac:dyDescent="0.25">
      <c r="A8" s="127"/>
      <c r="B8" s="128"/>
      <c r="C8" s="7"/>
      <c r="D8" s="7"/>
      <c r="E8" s="7"/>
      <c r="F8" s="7"/>
      <c r="G8" s="7"/>
      <c r="H8" s="7"/>
      <c r="I8" s="7"/>
      <c r="J8" s="7"/>
      <c r="K8" s="7"/>
      <c r="L8" s="7"/>
      <c r="M8" s="5">
        <f t="shared" si="0"/>
        <v>0</v>
      </c>
      <c r="N8" s="8">
        <f>SUM((C3+5)*C8/100+(D3+5)*D8/100+(E3+5)*E8/100+(F3+5)*F8/100+(G3+5)*G8/100+(H3+5)*H8/100+(I3+5)*I8/100+(J3+5)*J8/100+(K3+5)*K8/100+(L3+5)*L8/100)</f>
        <v>0</v>
      </c>
      <c r="O8" s="47"/>
      <c r="P8" s="53">
        <f t="shared" si="1"/>
        <v>0</v>
      </c>
      <c r="Q8" s="120"/>
      <c r="R8" s="120"/>
      <c r="T8" s="166" t="s">
        <v>79</v>
      </c>
      <c r="U8" s="167"/>
    </row>
    <row r="9" spans="1:21" x14ac:dyDescent="0.25">
      <c r="A9" s="127"/>
      <c r="B9" s="128"/>
      <c r="C9" s="7"/>
      <c r="D9" s="7"/>
      <c r="E9" s="7"/>
      <c r="F9" s="7"/>
      <c r="G9" s="7"/>
      <c r="H9" s="7"/>
      <c r="I9" s="7"/>
      <c r="J9" s="7"/>
      <c r="K9" s="7"/>
      <c r="L9" s="7"/>
      <c r="M9" s="5">
        <f t="shared" si="0"/>
        <v>0</v>
      </c>
      <c r="N9" s="8">
        <f>SUM((C3+5)*C9/100+(D3+5)*D9/100+(E3+5)*E9/100+(F3+5)*F9/100+(G3+5)*G9/100+(H3+5)*H9/100+(I3+5)*I9/100+(J3+5)*J9/100+(K3+5)*K9/100+(L3+5)*L9/100)</f>
        <v>0</v>
      </c>
      <c r="O9" s="47"/>
      <c r="P9" s="53">
        <f t="shared" si="1"/>
        <v>0</v>
      </c>
      <c r="Q9" s="120"/>
      <c r="R9" s="120"/>
      <c r="T9" s="33" t="s">
        <v>78</v>
      </c>
      <c r="U9" s="83" t="s">
        <v>26</v>
      </c>
    </row>
    <row r="10" spans="1:21" x14ac:dyDescent="0.25">
      <c r="A10" s="127"/>
      <c r="B10" s="128"/>
      <c r="C10" s="7"/>
      <c r="D10" s="7"/>
      <c r="E10" s="7"/>
      <c r="F10" s="7"/>
      <c r="G10" s="7"/>
      <c r="H10" s="7"/>
      <c r="I10" s="7"/>
      <c r="J10" s="7"/>
      <c r="K10" s="7"/>
      <c r="L10" s="7"/>
      <c r="M10" s="5">
        <f t="shared" si="0"/>
        <v>0</v>
      </c>
      <c r="N10" s="8">
        <f>SUM((C3+5)*C10/100+(D3+5)*D10/100+(E3+5)*E10/100+(F3+5)*F10/100+(G3+5)*G10/100+(H3+5)*H10/100+(I3+5)*I10/100+(J3+5)*J10/100+(K3+5)*K10/100+(L3+5)*L10/100)</f>
        <v>0</v>
      </c>
      <c r="O10" s="47"/>
      <c r="P10" s="53">
        <f t="shared" si="1"/>
        <v>0</v>
      </c>
      <c r="Q10" s="120"/>
      <c r="R10" s="120"/>
      <c r="T10" s="68">
        <f>M16</f>
        <v>0</v>
      </c>
      <c r="U10" s="24">
        <f>SUM(T10*0.172)/1000</f>
        <v>0</v>
      </c>
    </row>
    <row r="11" spans="1:21" x14ac:dyDescent="0.25">
      <c r="A11" s="127"/>
      <c r="B11" s="128"/>
      <c r="C11" s="7"/>
      <c r="D11" s="7"/>
      <c r="E11" s="7"/>
      <c r="F11" s="7"/>
      <c r="G11" s="7"/>
      <c r="H11" s="7"/>
      <c r="I11" s="7"/>
      <c r="J11" s="7"/>
      <c r="K11" s="7"/>
      <c r="L11" s="7"/>
      <c r="M11" s="5">
        <f t="shared" si="0"/>
        <v>0</v>
      </c>
      <c r="N11" s="8">
        <f>SUM((C3+5)*C11/100+(D3+5)*D11/100+(E3+5)*E11/100+(F3+5)*F11/100+(G3+5)*G11/100+(H3+5)*H11/100+(I3+5)*I11/100+(J3+5)*J11/100+(K3+5)*K11/100+(L3+5)*L11/100)</f>
        <v>0</v>
      </c>
      <c r="O11" s="47"/>
      <c r="P11" s="53">
        <f t="shared" si="1"/>
        <v>0</v>
      </c>
      <c r="Q11" s="120"/>
      <c r="R11" s="120"/>
      <c r="T11" s="68">
        <f>M35</f>
        <v>0</v>
      </c>
      <c r="U11" s="24">
        <f>SUM(T11*0.172)/1000</f>
        <v>0</v>
      </c>
    </row>
    <row r="12" spans="1:21" ht="15.75" thickBot="1" x14ac:dyDescent="0.3">
      <c r="A12" s="127"/>
      <c r="B12" s="128"/>
      <c r="C12" s="7"/>
      <c r="D12" s="7"/>
      <c r="E12" s="7"/>
      <c r="F12" s="7"/>
      <c r="G12" s="7"/>
      <c r="H12" s="7"/>
      <c r="I12" s="7"/>
      <c r="J12" s="7"/>
      <c r="K12" s="7"/>
      <c r="L12" s="7"/>
      <c r="M12" s="5">
        <f t="shared" si="0"/>
        <v>0</v>
      </c>
      <c r="N12" s="8">
        <f>SUM((C3+5)*C12/100+(D3+5)*D12/100+(E3+5)*E12/100+(F3+5)*F12/100+(G3+5)*G12/100+(H3+5)*H12/100+(I3+5)*I12/100+(J3+5)*J12/100+(K3+5)*K12/100+(L3+5)*L12/100)</f>
        <v>0</v>
      </c>
      <c r="O12" s="47"/>
      <c r="P12" s="53">
        <f t="shared" si="1"/>
        <v>0</v>
      </c>
      <c r="T12" s="69"/>
      <c r="U12" s="79"/>
    </row>
    <row r="13" spans="1:21" x14ac:dyDescent="0.25">
      <c r="A13" s="127"/>
      <c r="B13" s="128"/>
      <c r="C13" s="7"/>
      <c r="D13" s="7"/>
      <c r="E13" s="7"/>
      <c r="F13" s="7"/>
      <c r="G13" s="7"/>
      <c r="H13" s="7"/>
      <c r="I13" s="7"/>
      <c r="J13" s="7"/>
      <c r="K13" s="7"/>
      <c r="L13" s="7"/>
      <c r="M13" s="5">
        <f t="shared" si="0"/>
        <v>0</v>
      </c>
      <c r="N13" s="8">
        <f>SUM((C3+5)*C13/100+(D3+5)*D13/100+(E3+5)*E13/100+(F3+5)*F13/100+(G3+5)*G13/100+(H3+5)*H13/100+(I3+5)*I13/100+(J3+5)*J13/100+(K3+5)*K13/100+(L3+5)*L13/100)</f>
        <v>0</v>
      </c>
      <c r="O13" s="47"/>
      <c r="P13" s="53">
        <f t="shared" si="1"/>
        <v>0</v>
      </c>
    </row>
    <row r="14" spans="1:21" x14ac:dyDescent="0.25">
      <c r="A14" s="127"/>
      <c r="B14" s="128"/>
      <c r="C14" s="7"/>
      <c r="D14" s="7"/>
      <c r="E14" s="7"/>
      <c r="F14" s="7"/>
      <c r="G14" s="7"/>
      <c r="H14" s="7"/>
      <c r="I14" s="7"/>
      <c r="J14" s="7"/>
      <c r="K14" s="7"/>
      <c r="L14" s="7"/>
      <c r="M14" s="5">
        <f t="shared" si="0"/>
        <v>0</v>
      </c>
      <c r="N14" s="8">
        <f>SUM((C3+5)*C14/100+(D3+5)*D14/100+(E3+5)*E14/100+(F3+5)*F14/100+(G3+5)*G14/100+(H3+5)*H14/100+(I3+5)*I14/100+(J3+5)*J14/100+(K3+5)*K14/100+(L3+5)*L14/100)</f>
        <v>0</v>
      </c>
      <c r="O14" s="47"/>
      <c r="P14" s="53">
        <f t="shared" si="1"/>
        <v>0</v>
      </c>
    </row>
    <row r="15" spans="1:21" ht="15.75" thickBot="1" x14ac:dyDescent="0.3">
      <c r="A15" s="127"/>
      <c r="B15" s="128"/>
      <c r="C15" s="7"/>
      <c r="D15" s="7"/>
      <c r="E15" s="7"/>
      <c r="F15" s="7"/>
      <c r="G15" s="7"/>
      <c r="H15" s="7"/>
      <c r="I15" s="7"/>
      <c r="J15" s="7"/>
      <c r="K15" s="7"/>
      <c r="L15" s="7"/>
      <c r="M15" s="5">
        <f t="shared" si="0"/>
        <v>0</v>
      </c>
      <c r="N15" s="8">
        <f>SUM((C3+5)*C15/100+(D3+5)*D15/100+(E3+5)*E15/100+(F3+5)*F15/100+(G3+5)*G15/100+(H3+5)*H15/100+(I3+5)*I15/100+(J3+5)*J15/100+(K3+5)*K15/100+(L3+5)*L15/100)</f>
        <v>0</v>
      </c>
      <c r="O15" s="47"/>
      <c r="P15" s="53">
        <f t="shared" si="1"/>
        <v>0</v>
      </c>
    </row>
    <row r="16" spans="1:21" x14ac:dyDescent="0.25">
      <c r="A16" s="127"/>
      <c r="B16" s="128"/>
      <c r="C16" s="106">
        <f>SUM(C4:C15)</f>
        <v>0</v>
      </c>
      <c r="D16" s="106">
        <f t="shared" ref="D16:M16" si="2">SUM(D4:D15)</f>
        <v>0</v>
      </c>
      <c r="E16" s="106">
        <f t="shared" si="2"/>
        <v>0</v>
      </c>
      <c r="F16" s="106">
        <f t="shared" si="2"/>
        <v>0</v>
      </c>
      <c r="G16" s="106">
        <f t="shared" si="2"/>
        <v>0</v>
      </c>
      <c r="H16" s="106">
        <f t="shared" si="2"/>
        <v>0</v>
      </c>
      <c r="I16" s="106">
        <f t="shared" si="2"/>
        <v>0</v>
      </c>
      <c r="J16" s="106">
        <f t="shared" si="2"/>
        <v>0</v>
      </c>
      <c r="K16" s="106">
        <f t="shared" si="2"/>
        <v>0</v>
      </c>
      <c r="L16" s="106">
        <f t="shared" si="2"/>
        <v>0</v>
      </c>
      <c r="M16" s="106">
        <f t="shared" si="2"/>
        <v>0</v>
      </c>
      <c r="N16" s="4"/>
      <c r="O16" s="115" t="s">
        <v>56</v>
      </c>
      <c r="P16" s="113">
        <f>SUM(P4:P15)</f>
        <v>0</v>
      </c>
    </row>
    <row r="17" spans="1:19" ht="15.75" thickBot="1" x14ac:dyDescent="0.3">
      <c r="A17" s="129"/>
      <c r="B17" s="130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4"/>
      <c r="O17" s="115"/>
      <c r="P17" s="131"/>
    </row>
    <row r="21" spans="1:19" ht="15.75" thickBot="1" x14ac:dyDescent="0.3">
      <c r="A21" s="123" t="s">
        <v>16</v>
      </c>
      <c r="B21" s="123"/>
      <c r="C21" s="6" t="s">
        <v>0</v>
      </c>
      <c r="D21" s="102"/>
      <c r="E21" s="103"/>
      <c r="F21" s="103"/>
      <c r="G21" s="103"/>
      <c r="H21" s="103"/>
      <c r="I21" s="103"/>
      <c r="J21" s="103"/>
      <c r="K21" s="103"/>
      <c r="L21" s="105"/>
      <c r="M21" s="3"/>
      <c r="N21" s="2" t="s">
        <v>1</v>
      </c>
      <c r="O21" s="46"/>
    </row>
    <row r="22" spans="1:19" x14ac:dyDescent="0.25">
      <c r="A22" s="123"/>
      <c r="B22" s="123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1" t="s">
        <v>2</v>
      </c>
      <c r="N22" s="2" t="s">
        <v>3</v>
      </c>
      <c r="O22" s="50" t="s">
        <v>55</v>
      </c>
      <c r="P22" s="51" t="s">
        <v>53</v>
      </c>
      <c r="Q22" s="107" t="s">
        <v>7</v>
      </c>
      <c r="R22" s="108"/>
      <c r="S22" s="109"/>
    </row>
    <row r="23" spans="1:19" ht="15.75" thickBot="1" x14ac:dyDescent="0.3">
      <c r="A23" s="125" t="s">
        <v>35</v>
      </c>
      <c r="B23" s="126"/>
      <c r="C23" s="7"/>
      <c r="D23" s="7"/>
      <c r="E23" s="7"/>
      <c r="F23" s="7"/>
      <c r="G23" s="7"/>
      <c r="H23" s="7"/>
      <c r="I23" s="7"/>
      <c r="J23" s="7"/>
      <c r="K23" s="7"/>
      <c r="L23" s="7"/>
      <c r="M23" s="5">
        <f>SUM(C23:L23)</f>
        <v>0</v>
      </c>
      <c r="N23" s="8">
        <f>SUM((C22+1.97)*C23/39.37+(D22+1.97)*D23/39.37+(E22+1.97)*E23/39.37+(F22+1.97)*F23/39.37+(G22+1.97)*G23/39.37+(H22+1.97)*H23/39.37+(I22+1.97)*I23/39.37+(J22+1.97)*J23/39.37+(K22+1.97)*K23/39.37+(L22+1.97)*L23/39.37)</f>
        <v>0</v>
      </c>
      <c r="O23" s="47"/>
      <c r="P23" s="55">
        <f>SUM((N23*O23)%+N23)/71</f>
        <v>0</v>
      </c>
      <c r="Q23" s="110"/>
      <c r="R23" s="111"/>
      <c r="S23" s="112"/>
    </row>
    <row r="24" spans="1:19" x14ac:dyDescent="0.25">
      <c r="A24" s="127"/>
      <c r="B24" s="128"/>
      <c r="C24" s="7"/>
      <c r="D24" s="7"/>
      <c r="E24" s="7"/>
      <c r="F24" s="7"/>
      <c r="G24" s="7"/>
      <c r="H24" s="7"/>
      <c r="I24" s="7"/>
      <c r="J24" s="7"/>
      <c r="K24" s="7"/>
      <c r="L24" s="7"/>
      <c r="M24" s="5">
        <f t="shared" ref="M24:M34" si="3">SUM(C24:L24)</f>
        <v>0</v>
      </c>
      <c r="N24" s="8">
        <f>(C22+1.97)*C24/39.37+(D22+1.97)*D24/39.37+(E22+1.97)*E24/39.37+(F22+1.97)*F24/39.37+(G22+1.97)*G24/39.37+(H22+1.97)*H24/39.37+(I22+1.97)*I24/39.37+(J22+1.97)*J24/39.37+(K22+1.97)*K24/39.37+(L22+1.97)*L24/39.37</f>
        <v>0</v>
      </c>
      <c r="O24" s="47"/>
      <c r="P24" s="55">
        <f t="shared" ref="P24:P34" si="4">SUM((N24*O24)%+N24)/71</f>
        <v>0</v>
      </c>
    </row>
    <row r="25" spans="1:19" x14ac:dyDescent="0.25">
      <c r="A25" s="127"/>
      <c r="B25" s="128"/>
      <c r="C25" s="7"/>
      <c r="D25" s="7"/>
      <c r="E25" s="7"/>
      <c r="F25" s="7"/>
      <c r="G25" s="7"/>
      <c r="H25" s="7"/>
      <c r="I25" s="7"/>
      <c r="J25" s="7"/>
      <c r="K25" s="7"/>
      <c r="L25" s="7"/>
      <c r="M25" s="5">
        <f t="shared" si="3"/>
        <v>0</v>
      </c>
      <c r="N25" s="8">
        <f>(C22+1.97)*C25/39.37+(D22+1.97)*D25/39.37+(E22+1.97)*E25/39.37+(F22+1.97)*F25/39.37+(G22+1.97)*G25/39.37+(H22+1.97)*H25/39.37+(I22+1.97)*I25/39.37+(J22+1.97)*J25/39.37+(K22+1.97)*K25/39.37+(L22+1.97)*L25/39.37</f>
        <v>0</v>
      </c>
      <c r="O25" s="47"/>
      <c r="P25" s="55">
        <f t="shared" si="4"/>
        <v>0</v>
      </c>
    </row>
    <row r="26" spans="1:19" x14ac:dyDescent="0.25">
      <c r="A26" s="127"/>
      <c r="B26" s="128"/>
      <c r="C26" s="7"/>
      <c r="D26" s="7"/>
      <c r="E26" s="7"/>
      <c r="F26" s="7"/>
      <c r="G26" s="7"/>
      <c r="H26" s="7"/>
      <c r="I26" s="7"/>
      <c r="J26" s="7"/>
      <c r="K26" s="7"/>
      <c r="L26" s="7"/>
      <c r="M26" s="5">
        <f t="shared" si="3"/>
        <v>0</v>
      </c>
      <c r="N26" s="8">
        <f>(C22+1.97)*C26/39.37+(D22+1.97)*D26/39.37+(E22+1.97)*E26/39.37+(F22+1.97)*F26/39.37+(G22+1.97)*G26/39.37+(H22+1.97)*H26/39.37+(I22+1.97)*I26/39.37+(J22+1.97)*J26/39.37+(K22+1.97)*K26/39.37+(L22+1.97)*L26/39.37</f>
        <v>0</v>
      </c>
      <c r="O26" s="47"/>
      <c r="P26" s="55">
        <f t="shared" si="4"/>
        <v>0</v>
      </c>
    </row>
    <row r="27" spans="1:19" x14ac:dyDescent="0.25">
      <c r="A27" s="127"/>
      <c r="B27" s="128"/>
      <c r="C27" s="7"/>
      <c r="D27" s="7"/>
      <c r="E27" s="7"/>
      <c r="F27" s="7"/>
      <c r="G27" s="7"/>
      <c r="H27" s="7"/>
      <c r="I27" s="7"/>
      <c r="J27" s="7"/>
      <c r="K27" s="7"/>
      <c r="L27" s="7"/>
      <c r="M27" s="5">
        <f t="shared" si="3"/>
        <v>0</v>
      </c>
      <c r="N27" s="8">
        <f>(C22+1.97)*C27/39.37+(D22+1.97)*D27/39.37+(E22+1.97)*E27/39.37+(F22+1.97)*F27/39.37+(G22+1.97)*G27/39.37+(H22+1.97)*H27/39.37+(I22+1.97)*I27/39.37+(J22+1.97)*J27/39.37+(K22+1.97)*K27/39.37+(L22+1.97)*L27/39.37</f>
        <v>0</v>
      </c>
      <c r="O27" s="47"/>
      <c r="P27" s="55">
        <f t="shared" si="4"/>
        <v>0</v>
      </c>
      <c r="Q27" s="120" t="s">
        <v>39</v>
      </c>
      <c r="R27" s="120"/>
    </row>
    <row r="28" spans="1:19" x14ac:dyDescent="0.25">
      <c r="A28" s="127"/>
      <c r="B28" s="128"/>
      <c r="C28" s="7"/>
      <c r="D28" s="7"/>
      <c r="E28" s="7"/>
      <c r="F28" s="7"/>
      <c r="G28" s="7"/>
      <c r="H28" s="7"/>
      <c r="I28" s="7"/>
      <c r="J28" s="7"/>
      <c r="K28" s="7"/>
      <c r="L28" s="7"/>
      <c r="M28" s="5">
        <f t="shared" si="3"/>
        <v>0</v>
      </c>
      <c r="N28" s="8">
        <f>(C22+1.97)*C28/39.37+(D22+1.97)*D28/39.37+(E22+1.97)*E28/39.37+(F22+1.97)*F28/39.37+(G22+1.97)*G28/39.37+(H22+1.97)*H28/39.37+(I22+1.97)*I28/39.37+(J22+1.97)*J28/39.37+(K22+1.97)*K28/39.37+(L22+1.97)*L28/39.37</f>
        <v>0</v>
      </c>
      <c r="O28" s="47"/>
      <c r="P28" s="55">
        <f t="shared" si="4"/>
        <v>0</v>
      </c>
      <c r="Q28" s="120"/>
      <c r="R28" s="120"/>
    </row>
    <row r="29" spans="1:19" x14ac:dyDescent="0.25">
      <c r="A29" s="127"/>
      <c r="B29" s="128"/>
      <c r="C29" s="7"/>
      <c r="D29" s="7"/>
      <c r="E29" s="7"/>
      <c r="F29" s="7"/>
      <c r="G29" s="7"/>
      <c r="H29" s="7"/>
      <c r="I29" s="7"/>
      <c r="J29" s="7"/>
      <c r="K29" s="7"/>
      <c r="L29" s="7"/>
      <c r="M29" s="5">
        <f t="shared" si="3"/>
        <v>0</v>
      </c>
      <c r="N29" s="8">
        <f>(C22+1.97)*C29/39.37+(D22+1.97)*D29/39.37+(E22+1.97)*E29/39.37+(F22+1.97)*F29/39.37+(G22+1.97)*G29/39.37+(H22+1.97)*H29/39.37+(I22+1.97)*I29/39.37+(J22+1.97)*J29/39.37+(K22+1.97)*K29/39.37+(L22+1.97)*L29/39.37</f>
        <v>0</v>
      </c>
      <c r="O29" s="47"/>
      <c r="P29" s="55">
        <f t="shared" si="4"/>
        <v>0</v>
      </c>
      <c r="Q29" s="120"/>
      <c r="R29" s="120"/>
    </row>
    <row r="30" spans="1:19" x14ac:dyDescent="0.25">
      <c r="A30" s="127"/>
      <c r="B30" s="128"/>
      <c r="C30" s="7"/>
      <c r="D30" s="7"/>
      <c r="E30" s="7"/>
      <c r="F30" s="7"/>
      <c r="G30" s="7"/>
      <c r="H30" s="7"/>
      <c r="I30" s="7"/>
      <c r="J30" s="7"/>
      <c r="K30" s="7"/>
      <c r="L30" s="7"/>
      <c r="M30" s="5">
        <f t="shared" si="3"/>
        <v>0</v>
      </c>
      <c r="N30" s="8">
        <f>(C22+1.97)*C30/39.37+(D22+1.97)*D30/39.37+(E22+1.97)*E30/39.37+(F22+1.97)*F30/39.37+(G22+1.97)*G30/39.37+(H22+1.97)*H30/39.37+(I22+1.97)*I30/39.37+(J22+1.97)*J30/39.37+(K22+1.97)*K30/39.37+(L22+1.97)*L30/39.37</f>
        <v>0</v>
      </c>
      <c r="O30" s="47"/>
      <c r="P30" s="55">
        <f t="shared" si="4"/>
        <v>0</v>
      </c>
      <c r="Q30" s="120"/>
      <c r="R30" s="120"/>
    </row>
    <row r="31" spans="1:19" x14ac:dyDescent="0.25">
      <c r="A31" s="127"/>
      <c r="B31" s="128"/>
      <c r="C31" s="7"/>
      <c r="D31" s="7"/>
      <c r="E31" s="7"/>
      <c r="F31" s="7"/>
      <c r="G31" s="7"/>
      <c r="H31" s="7"/>
      <c r="I31" s="7"/>
      <c r="J31" s="7"/>
      <c r="K31" s="7"/>
      <c r="L31" s="7"/>
      <c r="M31" s="5">
        <f t="shared" si="3"/>
        <v>0</v>
      </c>
      <c r="N31" s="8">
        <f>(C22+1.97)*C31/39.37+(D22+1.97)*D31/39.37+(E22+1.97)*E31/39.37+(F22+1.97)*F31/39.37+(G22+1.97)*G31/39.37+(H22+1.97)*H31/39.37+(I22+1.97)*I31/39.37+(J22+1.97)*J31/39.37+(K22+1.97)*K31/39.37+(L22+1.97)*L31/39.37</f>
        <v>0</v>
      </c>
      <c r="O31" s="47"/>
      <c r="P31" s="55">
        <f t="shared" si="4"/>
        <v>0</v>
      </c>
      <c r="Q31" s="120"/>
      <c r="R31" s="120"/>
    </row>
    <row r="32" spans="1:19" x14ac:dyDescent="0.25">
      <c r="A32" s="127"/>
      <c r="B32" s="128"/>
      <c r="C32" s="7"/>
      <c r="D32" s="7"/>
      <c r="E32" s="7"/>
      <c r="F32" s="7"/>
      <c r="G32" s="7"/>
      <c r="H32" s="7"/>
      <c r="I32" s="7"/>
      <c r="J32" s="7"/>
      <c r="K32" s="7"/>
      <c r="L32" s="7"/>
      <c r="M32" s="5">
        <f t="shared" si="3"/>
        <v>0</v>
      </c>
      <c r="N32" s="8">
        <f>(C22+1.97)*C32/39.37+(D22+1.97)*D32/39.37+(E22+1.97)*E32/39.37+(F22+1.97)*F32/39.37+(G22+1.97)*G32/39.37+(H22+1.97)*H32/39.37+(I22+1.97)*I32/39.37+(J22+1.97)*J32/39.37+(K22+1.97)*K32/39.37+(L22+1.97)*L32/39.37</f>
        <v>0</v>
      </c>
      <c r="O32" s="47"/>
      <c r="P32" s="55">
        <f t="shared" si="4"/>
        <v>0</v>
      </c>
    </row>
    <row r="33" spans="1:16" x14ac:dyDescent="0.25">
      <c r="A33" s="127"/>
      <c r="B33" s="128"/>
      <c r="C33" s="7"/>
      <c r="D33" s="7"/>
      <c r="E33" s="7"/>
      <c r="F33" s="7"/>
      <c r="G33" s="7"/>
      <c r="H33" s="7"/>
      <c r="I33" s="7"/>
      <c r="J33" s="7"/>
      <c r="K33" s="7"/>
      <c r="L33" s="7"/>
      <c r="M33" s="5">
        <f t="shared" si="3"/>
        <v>0</v>
      </c>
      <c r="N33" s="8">
        <f>(C22+1.97)*C33/39.37+(D22+1.97)*D33/39.37+(E22+1.97)*E33/39.37+(F22+1.97)*F33/39.37+(G22+1.97)*G33/39.37+(H22+1.97)*H33/39.37+(I22+1.97)*I33/39.37+(J22+1.97)*J33/39.37+(K22+1.97)*K33/39.37+(L22+1.97)*L33/39.37</f>
        <v>0</v>
      </c>
      <c r="O33" s="47"/>
      <c r="P33" s="55">
        <f t="shared" si="4"/>
        <v>0</v>
      </c>
    </row>
    <row r="34" spans="1:16" ht="15.75" thickBot="1" x14ac:dyDescent="0.3">
      <c r="A34" s="127"/>
      <c r="B34" s="128"/>
      <c r="C34" s="7"/>
      <c r="D34" s="7"/>
      <c r="E34" s="7"/>
      <c r="F34" s="7"/>
      <c r="G34" s="7"/>
      <c r="H34" s="7"/>
      <c r="I34" s="7"/>
      <c r="J34" s="7"/>
      <c r="K34" s="7"/>
      <c r="L34" s="7"/>
      <c r="M34" s="5">
        <f t="shared" si="3"/>
        <v>0</v>
      </c>
      <c r="N34" s="8">
        <f>(C22+1.97)*C34/39.37+(D22+1.97)*D34/39.37+(E22+1.97)*E34/39.37+(F22+1.97)*F34/39.37+(G22+1.97)*G34/39.37+(H22+1.97)*H34/39.37+(I22+1.97)*I34/39.37+(J22+1.97)*J34/39.37+(K22+1.97)*K34/39.37+(L22+1.97)*L34/39.37</f>
        <v>0</v>
      </c>
      <c r="O34" s="47"/>
      <c r="P34" s="55">
        <f t="shared" si="4"/>
        <v>0</v>
      </c>
    </row>
    <row r="35" spans="1:16" x14ac:dyDescent="0.25">
      <c r="A35" s="127"/>
      <c r="B35" s="128"/>
      <c r="C35" s="106">
        <f>SUM(C23:C34)</f>
        <v>0</v>
      </c>
      <c r="D35" s="106">
        <f t="shared" ref="D35:M35" si="5">SUM(D23:D34)</f>
        <v>0</v>
      </c>
      <c r="E35" s="106">
        <f t="shared" si="5"/>
        <v>0</v>
      </c>
      <c r="F35" s="106">
        <f t="shared" si="5"/>
        <v>0</v>
      </c>
      <c r="G35" s="106">
        <f t="shared" si="5"/>
        <v>0</v>
      </c>
      <c r="H35" s="106">
        <f t="shared" si="5"/>
        <v>0</v>
      </c>
      <c r="I35" s="106">
        <f t="shared" si="5"/>
        <v>0</v>
      </c>
      <c r="J35" s="106">
        <f t="shared" si="5"/>
        <v>0</v>
      </c>
      <c r="K35" s="106">
        <f t="shared" si="5"/>
        <v>0</v>
      </c>
      <c r="L35" s="106">
        <f t="shared" si="5"/>
        <v>0</v>
      </c>
      <c r="M35" s="106">
        <f t="shared" si="5"/>
        <v>0</v>
      </c>
      <c r="N35" s="4"/>
      <c r="O35" s="115" t="s">
        <v>56</v>
      </c>
      <c r="P35" s="113">
        <f>SUM(P23:P34)</f>
        <v>0</v>
      </c>
    </row>
    <row r="36" spans="1:16" ht="15.75" thickBot="1" x14ac:dyDescent="0.3">
      <c r="A36" s="129"/>
      <c r="B36" s="130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4"/>
      <c r="O36" s="115"/>
      <c r="P36" s="131"/>
    </row>
  </sheetData>
  <mergeCells count="38">
    <mergeCell ref="J35:J36"/>
    <mergeCell ref="K35:K36"/>
    <mergeCell ref="L35:L36"/>
    <mergeCell ref="M35:M36"/>
    <mergeCell ref="Q3:S4"/>
    <mergeCell ref="Q22:S23"/>
    <mergeCell ref="Q7:R11"/>
    <mergeCell ref="Q27:R31"/>
    <mergeCell ref="P16:P17"/>
    <mergeCell ref="O16:O17"/>
    <mergeCell ref="P35:P36"/>
    <mergeCell ref="O35:O36"/>
    <mergeCell ref="C16:C17"/>
    <mergeCell ref="D16:D17"/>
    <mergeCell ref="A4:B17"/>
    <mergeCell ref="I35:I36"/>
    <mergeCell ref="C35:C36"/>
    <mergeCell ref="D35:D36"/>
    <mergeCell ref="E35:E36"/>
    <mergeCell ref="F35:F36"/>
    <mergeCell ref="G35:G36"/>
    <mergeCell ref="H35:H36"/>
    <mergeCell ref="T2:U2"/>
    <mergeCell ref="T8:U8"/>
    <mergeCell ref="A2:B3"/>
    <mergeCell ref="D2:L2"/>
    <mergeCell ref="A23:B36"/>
    <mergeCell ref="L16:L17"/>
    <mergeCell ref="M16:M17"/>
    <mergeCell ref="A21:B22"/>
    <mergeCell ref="D21:L21"/>
    <mergeCell ref="F16:F17"/>
    <mergeCell ref="G16:G17"/>
    <mergeCell ref="H16:H17"/>
    <mergeCell ref="I16:I17"/>
    <mergeCell ref="J16:J17"/>
    <mergeCell ref="K16:K17"/>
    <mergeCell ref="E16:E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60066"/>
  </sheetPr>
  <dimension ref="A1:T27"/>
  <sheetViews>
    <sheetView workbookViewId="0">
      <selection activeCell="A4" sqref="A4"/>
    </sheetView>
  </sheetViews>
  <sheetFormatPr defaultRowHeight="15" x14ac:dyDescent="0.25"/>
  <sheetData>
    <row r="1" spans="1:20" ht="15.75" thickBot="1" x14ac:dyDescent="0.3"/>
    <row r="2" spans="1:20" ht="21" thickBot="1" x14ac:dyDescent="0.35">
      <c r="A2" s="169" t="s">
        <v>16</v>
      </c>
      <c r="B2" s="170"/>
      <c r="C2" s="170"/>
      <c r="D2" s="170"/>
      <c r="E2" s="170"/>
      <c r="F2" s="171"/>
      <c r="H2" s="160" t="s">
        <v>17</v>
      </c>
      <c r="I2" s="161"/>
      <c r="J2" s="161"/>
      <c r="K2" s="161"/>
      <c r="L2" s="161"/>
      <c r="M2" s="162"/>
    </row>
    <row r="3" spans="1:20" x14ac:dyDescent="0.25">
      <c r="A3" s="10" t="s">
        <v>18</v>
      </c>
      <c r="B3" s="10" t="s">
        <v>19</v>
      </c>
      <c r="C3" s="10" t="s">
        <v>20</v>
      </c>
      <c r="D3" s="172" t="s">
        <v>21</v>
      </c>
      <c r="E3" s="172"/>
      <c r="F3" s="172"/>
      <c r="H3" s="9" t="s">
        <v>18</v>
      </c>
      <c r="I3" s="9" t="s">
        <v>19</v>
      </c>
      <c r="J3" s="9" t="s">
        <v>20</v>
      </c>
      <c r="K3" s="163" t="s">
        <v>21</v>
      </c>
      <c r="L3" s="163"/>
      <c r="M3" s="163"/>
    </row>
    <row r="4" spans="1:20" x14ac:dyDescent="0.25">
      <c r="A4" s="15"/>
      <c r="B4" s="11"/>
      <c r="C4" s="12">
        <f>SUM(A4)*B4/39.37</f>
        <v>0</v>
      </c>
      <c r="D4" s="13">
        <f>C4/20.6</f>
        <v>0</v>
      </c>
      <c r="E4" s="13">
        <f>D4*5%</f>
        <v>0</v>
      </c>
      <c r="F4" s="13">
        <f>D4+E4</f>
        <v>0</v>
      </c>
      <c r="H4" s="15"/>
      <c r="I4" s="11"/>
      <c r="J4" s="12">
        <f>SUM(H4)*I4/100</f>
        <v>0</v>
      </c>
      <c r="K4" s="13">
        <f>J4/20.6</f>
        <v>0</v>
      </c>
      <c r="L4" s="13">
        <f>K4*5%</f>
        <v>0</v>
      </c>
      <c r="M4" s="13">
        <f>K4+L4</f>
        <v>0</v>
      </c>
    </row>
    <row r="5" spans="1:20" x14ac:dyDescent="0.25">
      <c r="A5" s="15"/>
      <c r="B5" s="11"/>
      <c r="C5" s="12">
        <f t="shared" ref="C5:C18" si="0">SUM(A5)*B5/39.37</f>
        <v>0</v>
      </c>
      <c r="D5" s="13">
        <f t="shared" ref="D5:D18" si="1">C5/20.6</f>
        <v>0</v>
      </c>
      <c r="E5" s="13">
        <f t="shared" ref="E5:E18" si="2">D5*5%</f>
        <v>0</v>
      </c>
      <c r="F5" s="13">
        <f t="shared" ref="F5:F18" si="3">D5+E5</f>
        <v>0</v>
      </c>
      <c r="H5" s="15"/>
      <c r="I5" s="11"/>
      <c r="J5" s="12">
        <f t="shared" ref="J5:J18" si="4">SUM(H5)*I5/100</f>
        <v>0</v>
      </c>
      <c r="K5" s="13">
        <f t="shared" ref="K5:K18" si="5">J5/20.6</f>
        <v>0</v>
      </c>
      <c r="L5" s="13">
        <f t="shared" ref="L5:L18" si="6">K5*5%</f>
        <v>0</v>
      </c>
      <c r="M5" s="13">
        <f t="shared" ref="M5:M18" si="7">K5+L5</f>
        <v>0</v>
      </c>
      <c r="P5" s="168" t="s">
        <v>29</v>
      </c>
      <c r="Q5" s="168"/>
      <c r="R5" s="168"/>
      <c r="S5" s="168"/>
      <c r="T5" s="168"/>
    </row>
    <row r="6" spans="1:20" x14ac:dyDescent="0.25">
      <c r="A6" s="15"/>
      <c r="B6" s="11"/>
      <c r="C6" s="12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H6" s="15"/>
      <c r="I6" s="11"/>
      <c r="J6" s="12">
        <f t="shared" si="4"/>
        <v>0</v>
      </c>
      <c r="K6" s="13">
        <f t="shared" si="5"/>
        <v>0</v>
      </c>
      <c r="L6" s="13">
        <f t="shared" si="6"/>
        <v>0</v>
      </c>
      <c r="M6" s="13">
        <f t="shared" si="7"/>
        <v>0</v>
      </c>
      <c r="P6" s="168"/>
      <c r="Q6" s="168"/>
      <c r="R6" s="168"/>
      <c r="S6" s="168"/>
      <c r="T6" s="168"/>
    </row>
    <row r="7" spans="1:20" x14ac:dyDescent="0.25">
      <c r="A7" s="15"/>
      <c r="B7" s="11"/>
      <c r="C7" s="12">
        <f t="shared" si="0"/>
        <v>0</v>
      </c>
      <c r="D7" s="13">
        <f t="shared" si="1"/>
        <v>0</v>
      </c>
      <c r="E7" s="13">
        <f t="shared" si="2"/>
        <v>0</v>
      </c>
      <c r="F7" s="13">
        <f t="shared" si="3"/>
        <v>0</v>
      </c>
      <c r="H7" s="15"/>
      <c r="I7" s="11"/>
      <c r="J7" s="12">
        <f t="shared" si="4"/>
        <v>0</v>
      </c>
      <c r="K7" s="13">
        <f t="shared" si="5"/>
        <v>0</v>
      </c>
      <c r="L7" s="13">
        <f t="shared" si="6"/>
        <v>0</v>
      </c>
      <c r="M7" s="13">
        <f t="shared" si="7"/>
        <v>0</v>
      </c>
      <c r="P7" s="168"/>
      <c r="Q7" s="168"/>
      <c r="R7" s="168"/>
      <c r="S7" s="168"/>
      <c r="T7" s="168"/>
    </row>
    <row r="8" spans="1:20" x14ac:dyDescent="0.25">
      <c r="A8" s="15"/>
      <c r="B8" s="11"/>
      <c r="C8" s="12">
        <f t="shared" si="0"/>
        <v>0</v>
      </c>
      <c r="D8" s="13">
        <f t="shared" si="1"/>
        <v>0</v>
      </c>
      <c r="E8" s="13">
        <f t="shared" si="2"/>
        <v>0</v>
      </c>
      <c r="F8" s="13">
        <f t="shared" si="3"/>
        <v>0</v>
      </c>
      <c r="H8" s="15"/>
      <c r="I8" s="11"/>
      <c r="J8" s="12">
        <f t="shared" si="4"/>
        <v>0</v>
      </c>
      <c r="K8" s="13">
        <f t="shared" si="5"/>
        <v>0</v>
      </c>
      <c r="L8" s="13">
        <f t="shared" si="6"/>
        <v>0</v>
      </c>
      <c r="M8" s="13">
        <f t="shared" si="7"/>
        <v>0</v>
      </c>
      <c r="P8" s="168"/>
      <c r="Q8" s="168"/>
      <c r="R8" s="168"/>
      <c r="S8" s="168"/>
      <c r="T8" s="168"/>
    </row>
    <row r="9" spans="1:20" x14ac:dyDescent="0.25">
      <c r="A9" s="15"/>
      <c r="B9" s="11"/>
      <c r="C9" s="12">
        <f t="shared" si="0"/>
        <v>0</v>
      </c>
      <c r="D9" s="13">
        <f t="shared" si="1"/>
        <v>0</v>
      </c>
      <c r="E9" s="13">
        <f t="shared" si="2"/>
        <v>0</v>
      </c>
      <c r="F9" s="13">
        <f t="shared" si="3"/>
        <v>0</v>
      </c>
      <c r="H9" s="15"/>
      <c r="I9" s="11"/>
      <c r="J9" s="12">
        <f t="shared" si="4"/>
        <v>0</v>
      </c>
      <c r="K9" s="13">
        <f t="shared" si="5"/>
        <v>0</v>
      </c>
      <c r="L9" s="13">
        <f t="shared" si="6"/>
        <v>0</v>
      </c>
      <c r="M9" s="13">
        <f t="shared" si="7"/>
        <v>0</v>
      </c>
      <c r="P9" s="168"/>
      <c r="Q9" s="168"/>
      <c r="R9" s="168"/>
      <c r="S9" s="168"/>
      <c r="T9" s="168"/>
    </row>
    <row r="10" spans="1:20" x14ac:dyDescent="0.25">
      <c r="A10" s="15"/>
      <c r="B10" s="11"/>
      <c r="C10" s="12">
        <f t="shared" si="0"/>
        <v>0</v>
      </c>
      <c r="D10" s="13">
        <f t="shared" si="1"/>
        <v>0</v>
      </c>
      <c r="E10" s="13">
        <f t="shared" si="2"/>
        <v>0</v>
      </c>
      <c r="F10" s="13">
        <f t="shared" si="3"/>
        <v>0</v>
      </c>
      <c r="H10" s="15"/>
      <c r="I10" s="11"/>
      <c r="J10" s="12">
        <f t="shared" si="4"/>
        <v>0</v>
      </c>
      <c r="K10" s="13">
        <f t="shared" si="5"/>
        <v>0</v>
      </c>
      <c r="L10" s="13">
        <f t="shared" si="6"/>
        <v>0</v>
      </c>
      <c r="M10" s="13">
        <f t="shared" si="7"/>
        <v>0</v>
      </c>
      <c r="P10" s="168"/>
      <c r="Q10" s="168"/>
      <c r="R10" s="168"/>
      <c r="S10" s="168"/>
      <c r="T10" s="168"/>
    </row>
    <row r="11" spans="1:20" x14ac:dyDescent="0.25">
      <c r="A11" s="15"/>
      <c r="B11" s="11"/>
      <c r="C11" s="12">
        <f t="shared" si="0"/>
        <v>0</v>
      </c>
      <c r="D11" s="13">
        <f t="shared" si="1"/>
        <v>0</v>
      </c>
      <c r="E11" s="13">
        <f t="shared" si="2"/>
        <v>0</v>
      </c>
      <c r="F11" s="13">
        <f t="shared" si="3"/>
        <v>0</v>
      </c>
      <c r="H11" s="15"/>
      <c r="I11" s="11"/>
      <c r="J11" s="12">
        <f t="shared" si="4"/>
        <v>0</v>
      </c>
      <c r="K11" s="13">
        <f t="shared" si="5"/>
        <v>0</v>
      </c>
      <c r="L11" s="13">
        <f t="shared" si="6"/>
        <v>0</v>
      </c>
      <c r="M11" s="13">
        <f t="shared" si="7"/>
        <v>0</v>
      </c>
      <c r="P11" s="168"/>
      <c r="Q11" s="168"/>
      <c r="R11" s="168"/>
      <c r="S11" s="168"/>
      <c r="T11" s="168"/>
    </row>
    <row r="12" spans="1:20" x14ac:dyDescent="0.25">
      <c r="A12" s="15"/>
      <c r="B12" s="11"/>
      <c r="C12" s="12">
        <f t="shared" si="0"/>
        <v>0</v>
      </c>
      <c r="D12" s="13">
        <f t="shared" si="1"/>
        <v>0</v>
      </c>
      <c r="E12" s="13">
        <f t="shared" si="2"/>
        <v>0</v>
      </c>
      <c r="F12" s="13">
        <f t="shared" si="3"/>
        <v>0</v>
      </c>
      <c r="H12" s="15"/>
      <c r="I12" s="11"/>
      <c r="J12" s="12">
        <f t="shared" si="4"/>
        <v>0</v>
      </c>
      <c r="K12" s="13">
        <f t="shared" si="5"/>
        <v>0</v>
      </c>
      <c r="L12" s="13">
        <f t="shared" si="6"/>
        <v>0</v>
      </c>
      <c r="M12" s="13">
        <f t="shared" si="7"/>
        <v>0</v>
      </c>
      <c r="P12" s="168"/>
      <c r="Q12" s="168"/>
      <c r="R12" s="168"/>
      <c r="S12" s="168"/>
      <c r="T12" s="168"/>
    </row>
    <row r="13" spans="1:20" x14ac:dyDescent="0.25">
      <c r="A13" s="15"/>
      <c r="B13" s="11"/>
      <c r="C13" s="12">
        <f t="shared" si="0"/>
        <v>0</v>
      </c>
      <c r="D13" s="13">
        <f t="shared" si="1"/>
        <v>0</v>
      </c>
      <c r="E13" s="13">
        <f t="shared" si="2"/>
        <v>0</v>
      </c>
      <c r="F13" s="13">
        <f t="shared" si="3"/>
        <v>0</v>
      </c>
      <c r="H13" s="15"/>
      <c r="I13" s="11"/>
      <c r="J13" s="12">
        <f t="shared" si="4"/>
        <v>0</v>
      </c>
      <c r="K13" s="13">
        <f t="shared" si="5"/>
        <v>0</v>
      </c>
      <c r="L13" s="13">
        <f t="shared" si="6"/>
        <v>0</v>
      </c>
      <c r="M13" s="13">
        <f t="shared" si="7"/>
        <v>0</v>
      </c>
      <c r="P13" s="168"/>
      <c r="Q13" s="168"/>
      <c r="R13" s="168"/>
      <c r="S13" s="168"/>
      <c r="T13" s="168"/>
    </row>
    <row r="14" spans="1:20" x14ac:dyDescent="0.25">
      <c r="A14" s="15"/>
      <c r="B14" s="11"/>
      <c r="C14" s="12">
        <f t="shared" si="0"/>
        <v>0</v>
      </c>
      <c r="D14" s="13">
        <f t="shared" si="1"/>
        <v>0</v>
      </c>
      <c r="E14" s="13">
        <f t="shared" si="2"/>
        <v>0</v>
      </c>
      <c r="F14" s="13">
        <f t="shared" si="3"/>
        <v>0</v>
      </c>
      <c r="H14" s="15"/>
      <c r="I14" s="11"/>
      <c r="J14" s="12">
        <f t="shared" si="4"/>
        <v>0</v>
      </c>
      <c r="K14" s="13">
        <f t="shared" si="5"/>
        <v>0</v>
      </c>
      <c r="L14" s="13">
        <f t="shared" si="6"/>
        <v>0</v>
      </c>
      <c r="M14" s="13">
        <f t="shared" si="7"/>
        <v>0</v>
      </c>
      <c r="P14" s="168"/>
      <c r="Q14" s="168"/>
      <c r="R14" s="168"/>
      <c r="S14" s="168"/>
      <c r="T14" s="168"/>
    </row>
    <row r="15" spans="1:20" x14ac:dyDescent="0.25">
      <c r="A15" s="15"/>
      <c r="B15" s="11"/>
      <c r="C15" s="12">
        <f t="shared" si="0"/>
        <v>0</v>
      </c>
      <c r="D15" s="13">
        <f t="shared" si="1"/>
        <v>0</v>
      </c>
      <c r="E15" s="13">
        <f t="shared" si="2"/>
        <v>0</v>
      </c>
      <c r="F15" s="13">
        <f t="shared" si="3"/>
        <v>0</v>
      </c>
      <c r="H15" s="15"/>
      <c r="I15" s="11"/>
      <c r="J15" s="12">
        <f t="shared" si="4"/>
        <v>0</v>
      </c>
      <c r="K15" s="13">
        <f t="shared" si="5"/>
        <v>0</v>
      </c>
      <c r="L15" s="13">
        <f t="shared" si="6"/>
        <v>0</v>
      </c>
      <c r="M15" s="13">
        <f t="shared" si="7"/>
        <v>0</v>
      </c>
      <c r="P15" s="168"/>
      <c r="Q15" s="168"/>
      <c r="R15" s="168"/>
      <c r="S15" s="168"/>
      <c r="T15" s="168"/>
    </row>
    <row r="16" spans="1:20" x14ac:dyDescent="0.25">
      <c r="A16" s="15"/>
      <c r="B16" s="11"/>
      <c r="C16" s="12">
        <f t="shared" si="0"/>
        <v>0</v>
      </c>
      <c r="D16" s="13">
        <f t="shared" si="1"/>
        <v>0</v>
      </c>
      <c r="E16" s="13">
        <f t="shared" si="2"/>
        <v>0</v>
      </c>
      <c r="F16" s="13">
        <f t="shared" si="3"/>
        <v>0</v>
      </c>
      <c r="H16" s="15"/>
      <c r="I16" s="11"/>
      <c r="J16" s="12">
        <f t="shared" si="4"/>
        <v>0</v>
      </c>
      <c r="K16" s="13">
        <f t="shared" si="5"/>
        <v>0</v>
      </c>
      <c r="L16" s="13">
        <f t="shared" si="6"/>
        <v>0</v>
      </c>
      <c r="M16" s="13">
        <f t="shared" si="7"/>
        <v>0</v>
      </c>
      <c r="P16" s="168"/>
      <c r="Q16" s="168"/>
      <c r="R16" s="168"/>
      <c r="S16" s="168"/>
      <c r="T16" s="168"/>
    </row>
    <row r="17" spans="1:20" x14ac:dyDescent="0.25">
      <c r="A17" s="15"/>
      <c r="B17" s="11"/>
      <c r="C17" s="12">
        <f t="shared" si="0"/>
        <v>0</v>
      </c>
      <c r="D17" s="13">
        <f t="shared" si="1"/>
        <v>0</v>
      </c>
      <c r="E17" s="13">
        <f t="shared" si="2"/>
        <v>0</v>
      </c>
      <c r="F17" s="13">
        <f t="shared" si="3"/>
        <v>0</v>
      </c>
      <c r="H17" s="15"/>
      <c r="I17" s="11"/>
      <c r="J17" s="12">
        <f t="shared" si="4"/>
        <v>0</v>
      </c>
      <c r="K17" s="13">
        <f t="shared" si="5"/>
        <v>0</v>
      </c>
      <c r="L17" s="13">
        <f t="shared" si="6"/>
        <v>0</v>
      </c>
      <c r="M17" s="13">
        <f t="shared" si="7"/>
        <v>0</v>
      </c>
      <c r="P17" s="168"/>
      <c r="Q17" s="168"/>
      <c r="R17" s="168"/>
      <c r="S17" s="168"/>
      <c r="T17" s="168"/>
    </row>
    <row r="18" spans="1:20" x14ac:dyDescent="0.25">
      <c r="A18" s="15"/>
      <c r="B18" s="11"/>
      <c r="C18" s="12">
        <f t="shared" si="0"/>
        <v>0</v>
      </c>
      <c r="D18" s="13">
        <f t="shared" si="1"/>
        <v>0</v>
      </c>
      <c r="E18" s="13">
        <f t="shared" si="2"/>
        <v>0</v>
      </c>
      <c r="F18" s="13">
        <f t="shared" si="3"/>
        <v>0</v>
      </c>
      <c r="H18" s="15"/>
      <c r="I18" s="11"/>
      <c r="J18" s="12">
        <f t="shared" si="4"/>
        <v>0</v>
      </c>
      <c r="K18" s="13">
        <f t="shared" si="5"/>
        <v>0</v>
      </c>
      <c r="L18" s="13">
        <f t="shared" si="6"/>
        <v>0</v>
      </c>
      <c r="M18" s="13">
        <f t="shared" si="7"/>
        <v>0</v>
      </c>
      <c r="P18" s="168"/>
      <c r="Q18" s="168"/>
      <c r="R18" s="168"/>
      <c r="S18" s="168"/>
      <c r="T18" s="168"/>
    </row>
    <row r="19" spans="1:20" x14ac:dyDescent="0.25">
      <c r="A19" s="15"/>
      <c r="B19" s="16">
        <f>SUM(B4:B18)</f>
        <v>0</v>
      </c>
      <c r="C19" s="17">
        <f>SUM(C4:C18)</f>
        <v>0</v>
      </c>
      <c r="D19" s="18"/>
      <c r="E19" s="18"/>
      <c r="F19" s="17">
        <f>SUM(F4:F18)</f>
        <v>0</v>
      </c>
      <c r="H19" s="15"/>
      <c r="I19" s="16">
        <f>SUM(I4:I18)</f>
        <v>0</v>
      </c>
      <c r="J19" s="17">
        <f>SUM(J4:J18)</f>
        <v>0</v>
      </c>
      <c r="K19" s="18"/>
      <c r="L19" s="18"/>
      <c r="M19" s="17">
        <f>SUM(M4:M18)</f>
        <v>0</v>
      </c>
      <c r="P19" s="168"/>
      <c r="Q19" s="168"/>
      <c r="R19" s="168"/>
      <c r="S19" s="168"/>
      <c r="T19" s="168"/>
    </row>
    <row r="21" spans="1:20" ht="15.75" thickBot="1" x14ac:dyDescent="0.3"/>
    <row r="22" spans="1:20" x14ac:dyDescent="0.25">
      <c r="E22" s="151" t="s">
        <v>29</v>
      </c>
      <c r="F22" s="152"/>
      <c r="G22" s="152"/>
      <c r="H22" s="153"/>
    </row>
    <row r="23" spans="1:20" x14ac:dyDescent="0.25">
      <c r="E23" s="154"/>
      <c r="F23" s="155"/>
      <c r="G23" s="155"/>
      <c r="H23" s="156"/>
    </row>
    <row r="24" spans="1:20" x14ac:dyDescent="0.25">
      <c r="E24" s="154"/>
      <c r="F24" s="155"/>
      <c r="G24" s="155"/>
      <c r="H24" s="156"/>
    </row>
    <row r="25" spans="1:20" x14ac:dyDescent="0.25">
      <c r="E25" s="154"/>
      <c r="F25" s="155"/>
      <c r="G25" s="155"/>
      <c r="H25" s="156"/>
    </row>
    <row r="26" spans="1:20" x14ac:dyDescent="0.25">
      <c r="E26" s="154"/>
      <c r="F26" s="155"/>
      <c r="G26" s="155"/>
      <c r="H26" s="156"/>
    </row>
    <row r="27" spans="1:20" ht="15.75" thickBot="1" x14ac:dyDescent="0.3">
      <c r="E27" s="157"/>
      <c r="F27" s="158"/>
      <c r="G27" s="158"/>
      <c r="H27" s="159"/>
    </row>
  </sheetData>
  <mergeCells count="6">
    <mergeCell ref="P5:T19"/>
    <mergeCell ref="E22:H27"/>
    <mergeCell ref="A2:F2"/>
    <mergeCell ref="H2:M2"/>
    <mergeCell ref="D3:F3"/>
    <mergeCell ref="K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9999"/>
  </sheetPr>
  <dimension ref="A1:U48"/>
  <sheetViews>
    <sheetView workbookViewId="0">
      <selection activeCell="F4" sqref="F4"/>
    </sheetView>
  </sheetViews>
  <sheetFormatPr defaultRowHeight="15" x14ac:dyDescent="0.25"/>
  <sheetData>
    <row r="1" spans="1:21" ht="15.75" thickBo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x14ac:dyDescent="0.25">
      <c r="A2" s="164" t="s">
        <v>23</v>
      </c>
      <c r="B2" s="173"/>
      <c r="C2" s="173"/>
      <c r="D2" s="26"/>
      <c r="E2" s="26"/>
      <c r="F2" s="173" t="s">
        <v>23</v>
      </c>
      <c r="G2" s="173"/>
      <c r="H2" s="165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x14ac:dyDescent="0.25">
      <c r="A3" s="33" t="s">
        <v>24</v>
      </c>
      <c r="B3" s="34" t="s">
        <v>25</v>
      </c>
      <c r="C3" s="35" t="s">
        <v>26</v>
      </c>
      <c r="D3" s="19"/>
      <c r="E3" s="19"/>
      <c r="F3" s="33" t="s">
        <v>27</v>
      </c>
      <c r="G3" s="34" t="s">
        <v>25</v>
      </c>
      <c r="H3" s="35" t="s">
        <v>26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25">
      <c r="A4" s="23"/>
      <c r="B4" s="20"/>
      <c r="C4" s="21">
        <f>SUM(A4+1.97)*B4/39.37/20.6*105%</f>
        <v>0</v>
      </c>
      <c r="D4" s="25"/>
      <c r="E4" s="25"/>
      <c r="F4" s="22"/>
      <c r="G4" s="20"/>
      <c r="H4" s="24">
        <f>SUM(F4+5)*G4/100/20.6*105%</f>
        <v>0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25">
      <c r="A5" s="23"/>
      <c r="B5" s="20"/>
      <c r="C5" s="21">
        <f t="shared" ref="C5:C19" si="0">SUM(A5+1.97)*B5/39.37/20.6*105%</f>
        <v>0</v>
      </c>
      <c r="D5" s="25"/>
      <c r="E5" s="25"/>
      <c r="F5" s="22"/>
      <c r="G5" s="20"/>
      <c r="H5" s="24">
        <f t="shared" ref="H5:H19" si="1">SUM(F5+5)*G5/100/20.6*105%</f>
        <v>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x14ac:dyDescent="0.25">
      <c r="A6" s="23"/>
      <c r="B6" s="20"/>
      <c r="C6" s="21">
        <f t="shared" si="0"/>
        <v>0</v>
      </c>
      <c r="D6" s="25"/>
      <c r="E6" s="25"/>
      <c r="F6" s="22"/>
      <c r="G6" s="20"/>
      <c r="H6" s="24">
        <f t="shared" si="1"/>
        <v>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x14ac:dyDescent="0.25">
      <c r="A7" s="23"/>
      <c r="B7" s="20"/>
      <c r="C7" s="21">
        <f t="shared" si="0"/>
        <v>0</v>
      </c>
      <c r="D7" s="25"/>
      <c r="E7" s="25"/>
      <c r="F7" s="22"/>
      <c r="G7" s="20"/>
      <c r="H7" s="24">
        <f t="shared" si="1"/>
        <v>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x14ac:dyDescent="0.25">
      <c r="A8" s="23"/>
      <c r="B8" s="20"/>
      <c r="C8" s="21">
        <f t="shared" si="0"/>
        <v>0</v>
      </c>
      <c r="D8" s="25"/>
      <c r="E8" s="25"/>
      <c r="F8" s="22"/>
      <c r="G8" s="20"/>
      <c r="H8" s="24">
        <f t="shared" si="1"/>
        <v>0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x14ac:dyDescent="0.25">
      <c r="A9" s="23"/>
      <c r="B9" s="20"/>
      <c r="C9" s="21">
        <f t="shared" si="0"/>
        <v>0</v>
      </c>
      <c r="D9" s="25"/>
      <c r="E9" s="25"/>
      <c r="F9" s="22"/>
      <c r="G9" s="20"/>
      <c r="H9" s="24">
        <f t="shared" si="1"/>
        <v>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 x14ac:dyDescent="0.25">
      <c r="A10" s="23"/>
      <c r="B10" s="20"/>
      <c r="C10" s="21">
        <f t="shared" si="0"/>
        <v>0</v>
      </c>
      <c r="D10" s="25"/>
      <c r="E10" s="25"/>
      <c r="F10" s="22"/>
      <c r="G10" s="20"/>
      <c r="H10" s="24">
        <f t="shared" si="1"/>
        <v>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 x14ac:dyDescent="0.25">
      <c r="A11" s="23"/>
      <c r="B11" s="20"/>
      <c r="C11" s="21">
        <f t="shared" si="0"/>
        <v>0</v>
      </c>
      <c r="D11" s="25"/>
      <c r="E11" s="25"/>
      <c r="F11" s="22"/>
      <c r="G11" s="20"/>
      <c r="H11" s="24">
        <f t="shared" si="1"/>
        <v>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1:21" x14ac:dyDescent="0.25">
      <c r="A12" s="23"/>
      <c r="B12" s="20"/>
      <c r="C12" s="21">
        <f t="shared" si="0"/>
        <v>0</v>
      </c>
      <c r="D12" s="25"/>
      <c r="E12" s="25"/>
      <c r="F12" s="22"/>
      <c r="G12" s="20"/>
      <c r="H12" s="24">
        <f t="shared" si="1"/>
        <v>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 x14ac:dyDescent="0.25">
      <c r="A13" s="23"/>
      <c r="B13" s="20"/>
      <c r="C13" s="21">
        <f t="shared" si="0"/>
        <v>0</v>
      </c>
      <c r="D13" s="25"/>
      <c r="E13" s="25"/>
      <c r="F13" s="22"/>
      <c r="G13" s="20"/>
      <c r="H13" s="24">
        <f t="shared" si="1"/>
        <v>0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 x14ac:dyDescent="0.25">
      <c r="A14" s="23"/>
      <c r="B14" s="20"/>
      <c r="C14" s="21">
        <f t="shared" si="0"/>
        <v>0</v>
      </c>
      <c r="D14" s="25"/>
      <c r="E14" s="25"/>
      <c r="F14" s="22"/>
      <c r="G14" s="20"/>
      <c r="H14" s="24">
        <f t="shared" si="1"/>
        <v>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x14ac:dyDescent="0.25">
      <c r="A15" s="23"/>
      <c r="B15" s="20"/>
      <c r="C15" s="21">
        <f t="shared" si="0"/>
        <v>0</v>
      </c>
      <c r="D15" s="25"/>
      <c r="E15" s="25"/>
      <c r="F15" s="22"/>
      <c r="G15" s="20"/>
      <c r="H15" s="24">
        <f t="shared" si="1"/>
        <v>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pans="1:21" x14ac:dyDescent="0.25">
      <c r="A16" s="23"/>
      <c r="B16" s="20"/>
      <c r="C16" s="21">
        <f t="shared" si="0"/>
        <v>0</v>
      </c>
      <c r="D16" s="25"/>
      <c r="E16" s="25"/>
      <c r="F16" s="22"/>
      <c r="G16" s="20"/>
      <c r="H16" s="24">
        <f t="shared" si="1"/>
        <v>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pans="1:21" x14ac:dyDescent="0.25">
      <c r="A17" s="23"/>
      <c r="B17" s="20"/>
      <c r="C17" s="21">
        <f t="shared" si="0"/>
        <v>0</v>
      </c>
      <c r="D17" s="25"/>
      <c r="E17" s="25"/>
      <c r="F17" s="22"/>
      <c r="G17" s="20"/>
      <c r="H17" s="24">
        <f t="shared" si="1"/>
        <v>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spans="1:21" x14ac:dyDescent="0.25">
      <c r="A18" s="23"/>
      <c r="B18" s="20"/>
      <c r="C18" s="21">
        <f t="shared" si="0"/>
        <v>0</v>
      </c>
      <c r="D18" s="25"/>
      <c r="E18" s="25"/>
      <c r="F18" s="22"/>
      <c r="G18" s="20"/>
      <c r="H18" s="24">
        <f t="shared" si="1"/>
        <v>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x14ac:dyDescent="0.25">
      <c r="A19" s="23"/>
      <c r="B19" s="20"/>
      <c r="C19" s="21">
        <f t="shared" si="0"/>
        <v>0</v>
      </c>
      <c r="D19" s="25"/>
      <c r="E19" s="25"/>
      <c r="F19" s="22"/>
      <c r="G19" s="20"/>
      <c r="H19" s="24">
        <f t="shared" si="1"/>
        <v>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spans="1:21" ht="15.75" thickBot="1" x14ac:dyDescent="0.3">
      <c r="A20" s="28" t="s">
        <v>28</v>
      </c>
      <c r="B20" s="31">
        <v>0</v>
      </c>
      <c r="C20" s="32">
        <f>SUM(C4:C19)</f>
        <v>0</v>
      </c>
      <c r="D20" s="27"/>
      <c r="E20" s="27"/>
      <c r="F20" s="30" t="s">
        <v>28</v>
      </c>
      <c r="G20" s="31">
        <v>0</v>
      </c>
      <c r="H20" s="29">
        <f>SUM(H4:H19)</f>
        <v>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1:2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1:2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spans="1:2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2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spans="1:2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spans="1:2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 spans="1:2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 spans="1:2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spans="1:2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spans="1:2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spans="1:2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spans="1:2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spans="1:2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spans="1:2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spans="1:2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spans="1:2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 spans="1:2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 spans="1:2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 spans="1:2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 spans="1:2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spans="1:2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 spans="1:2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spans="1:2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 spans="1:2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spans="1:2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 spans="1:2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</sheetData>
  <mergeCells count="2">
    <mergeCell ref="A2:C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T37"/>
  <sheetViews>
    <sheetView workbookViewId="0">
      <selection activeCell="C4" sqref="C4"/>
    </sheetView>
  </sheetViews>
  <sheetFormatPr defaultRowHeight="15" x14ac:dyDescent="0.25"/>
  <cols>
    <col min="1" max="1" width="7" customWidth="1"/>
    <col min="2" max="2" width="5.5703125" customWidth="1"/>
    <col min="13" max="13" width="12.85546875" customWidth="1"/>
    <col min="14" max="14" width="10.5703125" customWidth="1"/>
    <col min="15" max="15" width="7.42578125" customWidth="1"/>
    <col min="16" max="16" width="10.7109375" customWidth="1"/>
    <col min="18" max="18" width="6.7109375" customWidth="1"/>
    <col min="19" max="19" width="12.5703125" customWidth="1"/>
    <col min="20" max="20" width="11" customWidth="1"/>
  </cols>
  <sheetData>
    <row r="1" spans="1:20" ht="15.75" thickBot="1" x14ac:dyDescent="0.3">
      <c r="F1" s="107" t="s">
        <v>82</v>
      </c>
      <c r="G1" s="108"/>
      <c r="H1" s="109"/>
    </row>
    <row r="2" spans="1:20" ht="15.75" thickBot="1" x14ac:dyDescent="0.3">
      <c r="F2" s="110"/>
      <c r="G2" s="111"/>
      <c r="H2" s="112"/>
      <c r="S2" s="65"/>
      <c r="T2" s="77"/>
    </row>
    <row r="3" spans="1:20" x14ac:dyDescent="0.25">
      <c r="A3" s="123" t="s">
        <v>17</v>
      </c>
      <c r="B3" s="123"/>
      <c r="C3" s="6" t="s">
        <v>0</v>
      </c>
      <c r="D3" s="102"/>
      <c r="E3" s="103"/>
      <c r="F3" s="103"/>
      <c r="G3" s="103"/>
      <c r="H3" s="103"/>
      <c r="I3" s="103"/>
      <c r="J3" s="103"/>
      <c r="K3" s="103"/>
      <c r="L3" s="105"/>
      <c r="M3" s="3"/>
      <c r="N3" s="2" t="s">
        <v>1</v>
      </c>
      <c r="O3" s="46"/>
      <c r="S3" s="143" t="s">
        <v>87</v>
      </c>
      <c r="T3" s="143"/>
    </row>
    <row r="4" spans="1:20" x14ac:dyDescent="0.25">
      <c r="A4" s="123"/>
      <c r="B4" s="123"/>
      <c r="C4" s="36"/>
      <c r="D4" s="36"/>
      <c r="E4" s="36"/>
      <c r="F4" s="36"/>
      <c r="G4" s="36"/>
      <c r="H4" s="36"/>
      <c r="I4" s="36"/>
      <c r="J4" s="36"/>
      <c r="K4" s="36"/>
      <c r="L4" s="36"/>
      <c r="M4" s="1" t="s">
        <v>2</v>
      </c>
      <c r="N4" s="2" t="s">
        <v>3</v>
      </c>
      <c r="O4" s="50" t="s">
        <v>55</v>
      </c>
      <c r="P4" s="51" t="s">
        <v>53</v>
      </c>
      <c r="S4" s="67" t="s">
        <v>62</v>
      </c>
      <c r="T4" s="73" t="s">
        <v>26</v>
      </c>
    </row>
    <row r="5" spans="1:20" x14ac:dyDescent="0.25">
      <c r="A5" s="125" t="s">
        <v>86</v>
      </c>
      <c r="B5" s="126"/>
      <c r="C5" s="7"/>
      <c r="D5" s="7"/>
      <c r="E5" s="7"/>
      <c r="F5" s="7"/>
      <c r="G5" s="7"/>
      <c r="H5" s="7"/>
      <c r="I5" s="7"/>
      <c r="J5" s="7"/>
      <c r="K5" s="7"/>
      <c r="L5" s="7"/>
      <c r="M5" s="5">
        <f>SUM(C5:L5)</f>
        <v>0</v>
      </c>
      <c r="N5" s="8">
        <f>SUM((C4+6.3)*C5/100+(D4+6.3)*D5/100+(E4+6.3)*E5/100+(F4+6.3)*F5/100+(G4+6.3)*G5/100+(H4+6.3)*H5/100+(I4+6.3)*I5/100+(J4+6.3)*J5/100+(K4+6.3)*K5/100+(L4+6.3)*L5/100)</f>
        <v>0</v>
      </c>
      <c r="O5" s="47"/>
      <c r="P5" s="55">
        <f>SUM((N5*O5)%+N5)/57</f>
        <v>0</v>
      </c>
      <c r="S5" s="20">
        <f>N17</f>
        <v>0</v>
      </c>
      <c r="T5" s="24">
        <f>SUM(S5*102.5%*26.23/1000)</f>
        <v>0</v>
      </c>
    </row>
    <row r="6" spans="1:20" x14ac:dyDescent="0.25">
      <c r="A6" s="127"/>
      <c r="B6" s="128"/>
      <c r="C6" s="7"/>
      <c r="D6" s="7"/>
      <c r="E6" s="7"/>
      <c r="F6" s="7"/>
      <c r="G6" s="7"/>
      <c r="H6" s="7"/>
      <c r="I6" s="7"/>
      <c r="J6" s="7"/>
      <c r="K6" s="7"/>
      <c r="L6" s="7"/>
      <c r="M6" s="5">
        <f t="shared" ref="M6:M16" si="0">SUM(C6:L6)</f>
        <v>0</v>
      </c>
      <c r="N6" s="8">
        <f>SUM((C4+6.3)*C6/100+(D4+6.3)*D6/100+(E4+6.3)*E6/100+(F4+6.3)*F6/100+(G4+6.3)*G6/100+(H4+6.3)*H6/100+(I4+6.3)*I6/100+(J4+6.3)*J6/100+(K4+6.3)*K6/100+(L4+6.3)*L6/100)</f>
        <v>0</v>
      </c>
      <c r="O6" s="47"/>
      <c r="P6" s="55">
        <f t="shared" ref="P6:P16" si="1">SUM((N6*O6)%+N6)/57</f>
        <v>0</v>
      </c>
      <c r="Q6" s="137" t="s">
        <v>85</v>
      </c>
      <c r="R6" s="137"/>
      <c r="S6" s="20">
        <f>N36</f>
        <v>0</v>
      </c>
      <c r="T6" s="24">
        <f>SUM(S6*102.5%*26.23/1000)</f>
        <v>0</v>
      </c>
    </row>
    <row r="7" spans="1:20" ht="15.75" thickBot="1" x14ac:dyDescent="0.3">
      <c r="A7" s="127"/>
      <c r="B7" s="128"/>
      <c r="C7" s="7"/>
      <c r="D7" s="7"/>
      <c r="E7" s="7"/>
      <c r="F7" s="7"/>
      <c r="G7" s="7"/>
      <c r="H7" s="7"/>
      <c r="I7" s="7"/>
      <c r="J7" s="7"/>
      <c r="K7" s="7"/>
      <c r="L7" s="7"/>
      <c r="M7" s="5">
        <f t="shared" si="0"/>
        <v>0</v>
      </c>
      <c r="N7" s="8">
        <f>SUM((C4+6.3)*C7/100+(D4+6.3)*D7/100+(E4+6.3)*E7/100+(F4+6.3)*F7/100+(G4+6.3)*G7/100+(H4+6.3)*H7/100+(I4+6.3)*I7/100+(J4+6.3)*J7/100+(K4+6.3)*K7/100+(L4+6.3)*L7/100)</f>
        <v>0</v>
      </c>
      <c r="O7" s="47"/>
      <c r="P7" s="55">
        <f t="shared" si="1"/>
        <v>0</v>
      </c>
      <c r="Q7" s="137"/>
      <c r="R7" s="137"/>
      <c r="S7" s="78"/>
      <c r="T7" s="79">
        <f>SUM(S7*102.5%*26.23/1000)</f>
        <v>0</v>
      </c>
    </row>
    <row r="8" spans="1:20" ht="15.75" thickBot="1" x14ac:dyDescent="0.3">
      <c r="A8" s="127"/>
      <c r="B8" s="128"/>
      <c r="C8" s="7"/>
      <c r="D8" s="7"/>
      <c r="E8" s="7"/>
      <c r="F8" s="7"/>
      <c r="G8" s="7"/>
      <c r="H8" s="7"/>
      <c r="I8" s="7"/>
      <c r="J8" s="7"/>
      <c r="K8" s="7"/>
      <c r="L8" s="7"/>
      <c r="M8" s="5">
        <f t="shared" si="0"/>
        <v>0</v>
      </c>
      <c r="N8" s="8">
        <f>SUM((C4+6.3)*C8/100+(D4+6.3)*D8/100+(E4+6.3)*E8/100+(F4+6.3)*F8/100+(G4+6.3)*G8/100+(H4+6.3)*H8/100+(I4+6.3)*I8/100+(J4+6.3)*J8/100+(K4+6.3)*K8/100+(L4+6.3)*L8/100)</f>
        <v>0</v>
      </c>
      <c r="O8" s="47"/>
      <c r="P8" s="55">
        <f t="shared" si="1"/>
        <v>0</v>
      </c>
      <c r="Q8" s="137"/>
      <c r="R8" s="137"/>
      <c r="S8" s="25"/>
      <c r="T8" s="25"/>
    </row>
    <row r="9" spans="1:20" x14ac:dyDescent="0.25">
      <c r="A9" s="127"/>
      <c r="B9" s="128"/>
      <c r="C9" s="7"/>
      <c r="D9" s="7"/>
      <c r="E9" s="7"/>
      <c r="F9" s="7"/>
      <c r="G9" s="7"/>
      <c r="H9" s="7"/>
      <c r="I9" s="7"/>
      <c r="J9" s="7"/>
      <c r="K9" s="7"/>
      <c r="L9" s="7"/>
      <c r="M9" s="5">
        <f t="shared" si="0"/>
        <v>0</v>
      </c>
      <c r="N9" s="8">
        <f>SUM((C4+6.3)*C9/100+(D4+6.3)*D9/100+(E4+6.3)*E9/100+(F4+6.3)*F9/100+(G4+6.3)*G9/100+(H4+6.3)*H9/100+(I4+6.3)*I9/100+(J4+6.3)*J9/100+(K4+6.3)*K9/100+(L4+6.3)*L9/100)</f>
        <v>0</v>
      </c>
      <c r="O9" s="47"/>
      <c r="P9" s="55">
        <f t="shared" si="1"/>
        <v>0</v>
      </c>
      <c r="Q9" s="137"/>
      <c r="R9" s="137"/>
      <c r="S9" s="65"/>
      <c r="T9" s="77"/>
    </row>
    <row r="10" spans="1:20" x14ac:dyDescent="0.25">
      <c r="A10" s="127"/>
      <c r="B10" s="128"/>
      <c r="C10" s="7"/>
      <c r="D10" s="7"/>
      <c r="E10" s="7"/>
      <c r="F10" s="7"/>
      <c r="G10" s="7"/>
      <c r="H10" s="7"/>
      <c r="I10" s="7"/>
      <c r="J10" s="7"/>
      <c r="K10" s="7"/>
      <c r="L10" s="7"/>
      <c r="M10" s="5">
        <f t="shared" si="0"/>
        <v>0</v>
      </c>
      <c r="N10" s="8">
        <f>SUM((C4+6.3)*C10/100+(D4+6.3)*D10/100+(E4+6.3)*E10/100+(F4+6.3)*F10/100+(G4+6.3)*G10/100+(H4+6.3)*H10/100+(I4+6.3)*I10/100+(J4+6.3)*J10/100+(K4+6.3)*K10/100+(L4+6.3)*L10/100)</f>
        <v>0</v>
      </c>
      <c r="O10" s="47"/>
      <c r="P10" s="55">
        <f t="shared" si="1"/>
        <v>0</v>
      </c>
      <c r="Q10" s="137"/>
      <c r="R10" s="137"/>
      <c r="S10" s="143" t="s">
        <v>88</v>
      </c>
      <c r="T10" s="147"/>
    </row>
    <row r="11" spans="1:20" x14ac:dyDescent="0.25">
      <c r="A11" s="127"/>
      <c r="B11" s="128"/>
      <c r="C11" s="7"/>
      <c r="D11" s="7"/>
      <c r="E11" s="7"/>
      <c r="F11" s="7"/>
      <c r="G11" s="7"/>
      <c r="H11" s="7"/>
      <c r="I11" s="7"/>
      <c r="J11" s="7"/>
      <c r="K11" s="7"/>
      <c r="L11" s="7"/>
      <c r="M11" s="5">
        <f t="shared" si="0"/>
        <v>0</v>
      </c>
      <c r="N11" s="8">
        <f>SUM((C4+6.3)*C11/100+(D4+6.3)*D11/100+(E4+6.3)*E11/100+(F4+6.3)*F11/100+(G4+6.3)*G11/100+(H4+6.3)*H11/100+(I4+6.3)*I11/100+(J4+6.3)*J11/100+(K4+6.3)*K11/100+(L4+6.3)*L11/100)</f>
        <v>0</v>
      </c>
      <c r="O11" s="47"/>
      <c r="P11" s="55">
        <f t="shared" si="1"/>
        <v>0</v>
      </c>
      <c r="S11" s="67" t="s">
        <v>65</v>
      </c>
      <c r="T11" s="73" t="s">
        <v>26</v>
      </c>
    </row>
    <row r="12" spans="1:20" x14ac:dyDescent="0.25">
      <c r="A12" s="127"/>
      <c r="B12" s="128"/>
      <c r="C12" s="7"/>
      <c r="D12" s="7"/>
      <c r="E12" s="7"/>
      <c r="F12" s="7"/>
      <c r="G12" s="7"/>
      <c r="H12" s="7"/>
      <c r="I12" s="7"/>
      <c r="J12" s="7"/>
      <c r="K12" s="7"/>
      <c r="L12" s="7"/>
      <c r="M12" s="5">
        <f t="shared" si="0"/>
        <v>0</v>
      </c>
      <c r="N12" s="8">
        <f>SUM((C4+6.3)*C12/100+(D4+6.3)*D12/100+(E4+6.3)*E12/100+(F4+6.3)*F12/100+(G4+6.3)*G12/100+(H4+6.3)*H12/100+(I4+6.3)*I12/100+(J4+6.3)*J12/100+(K4+6.3)*K12/100+(L4+6.3)*L12/100)</f>
        <v>0</v>
      </c>
      <c r="O12" s="47"/>
      <c r="P12" s="55">
        <f t="shared" si="1"/>
        <v>0</v>
      </c>
      <c r="S12" s="20"/>
      <c r="T12" s="24">
        <f>SUM(S12*103%*3.7/1000)</f>
        <v>0</v>
      </c>
    </row>
    <row r="13" spans="1:20" x14ac:dyDescent="0.25">
      <c r="A13" s="127"/>
      <c r="B13" s="128"/>
      <c r="C13" s="7"/>
      <c r="D13" s="7"/>
      <c r="E13" s="7"/>
      <c r="F13" s="7"/>
      <c r="G13" s="7"/>
      <c r="H13" s="7"/>
      <c r="I13" s="7"/>
      <c r="J13" s="7"/>
      <c r="K13" s="7"/>
      <c r="L13" s="7"/>
      <c r="M13" s="5">
        <f t="shared" si="0"/>
        <v>0</v>
      </c>
      <c r="N13" s="8">
        <f>SUM((C4+6.3)*C13/100+(D4+6.3)*D13/100+(E4+6.3)*E13/100+(F4+6.3)*F13/100+(G4+6.3)*G13/100+(H4+6.3)*H13/100+(I4+6.3)*I13/100+(J4+6.3)*J13/100+(K4+6.3)*K13/100+(L4+6.3)*L13/100)</f>
        <v>0</v>
      </c>
      <c r="O13" s="47"/>
      <c r="P13" s="55">
        <f t="shared" si="1"/>
        <v>0</v>
      </c>
      <c r="S13" s="20"/>
      <c r="T13" s="24">
        <f>SUM(S13*103%*3.7/1000)</f>
        <v>0</v>
      </c>
    </row>
    <row r="14" spans="1:20" x14ac:dyDescent="0.25">
      <c r="A14" s="127"/>
      <c r="B14" s="128"/>
      <c r="C14" s="7"/>
      <c r="D14" s="7"/>
      <c r="E14" s="7"/>
      <c r="F14" s="7"/>
      <c r="G14" s="7"/>
      <c r="H14" s="7"/>
      <c r="I14" s="7"/>
      <c r="J14" s="7"/>
      <c r="K14" s="7"/>
      <c r="L14" s="7"/>
      <c r="M14" s="5">
        <f t="shared" si="0"/>
        <v>0</v>
      </c>
      <c r="N14" s="8">
        <f>SUM((C4+6.3)*C14/100+(D4+6.3)*D14/100+(E4+6.3)*E14/100+(F4+6.3)*F14/100+(G4+6.3)*G14/100+(H4+6.3)*H14/100+(I4+6.3)*I14/100+(J4+6.3)*J14/100+(K4+6.3)*K14/100+(L4+6.3)*L14/100)</f>
        <v>0</v>
      </c>
      <c r="O14" s="47"/>
      <c r="P14" s="55">
        <f t="shared" si="1"/>
        <v>0</v>
      </c>
      <c r="S14" s="20"/>
      <c r="T14" s="24">
        <f>SUM(S14*103%*3.7/1000)</f>
        <v>0</v>
      </c>
    </row>
    <row r="15" spans="1:20" x14ac:dyDescent="0.25">
      <c r="A15" s="127"/>
      <c r="B15" s="128"/>
      <c r="C15" s="7"/>
      <c r="D15" s="7"/>
      <c r="E15" s="7"/>
      <c r="F15" s="7"/>
      <c r="G15" s="7"/>
      <c r="H15" s="7"/>
      <c r="I15" s="7"/>
      <c r="J15" s="7"/>
      <c r="K15" s="7"/>
      <c r="L15" s="7"/>
      <c r="M15" s="5">
        <f t="shared" si="0"/>
        <v>0</v>
      </c>
      <c r="N15" s="8">
        <f>SUM((C4+6.3)*C15/100+(D4+6.3)*D15/100+(E4+6.3)*E15/100+(F4+6.3)*F15/100+(G4+6.3)*G15/100+(H4+6.3)*H15/100+(I4+6.3)*I15/100+(J4+6.3)*J15/100+(K4+6.3)*K15/100+(L4+6.3)*L15/100)</f>
        <v>0</v>
      </c>
      <c r="O15" s="47"/>
      <c r="P15" s="55">
        <f t="shared" si="1"/>
        <v>0</v>
      </c>
      <c r="S15" s="25"/>
      <c r="T15" s="80"/>
    </row>
    <row r="16" spans="1:20" ht="15.75" thickBot="1" x14ac:dyDescent="0.3">
      <c r="A16" s="127"/>
      <c r="B16" s="128"/>
      <c r="C16" s="7"/>
      <c r="D16" s="7"/>
      <c r="E16" s="7"/>
      <c r="F16" s="7"/>
      <c r="G16" s="7"/>
      <c r="H16" s="7"/>
      <c r="I16" s="7"/>
      <c r="J16" s="7"/>
      <c r="K16" s="7"/>
      <c r="L16" s="7"/>
      <c r="M16" s="5">
        <f t="shared" si="0"/>
        <v>0</v>
      </c>
      <c r="N16" s="8">
        <f>SUM((C4+6.3)*C16/100+(D4+6.3)*D16/100+(E4+6.3)*E16/100+(F4+6.3)*F16/100+(G4+6.3)*G16/100+(H4+6.3)*H16/100+(I4+6.3)*I16/100+(J4+6.3)*J16/100+(K4+6.3)*K16/100+(L4+6.3)*L16/100)</f>
        <v>0</v>
      </c>
      <c r="O16" s="47"/>
      <c r="P16" s="55">
        <f t="shared" si="1"/>
        <v>0</v>
      </c>
      <c r="S16" s="143" t="s">
        <v>89</v>
      </c>
      <c r="T16" s="147"/>
    </row>
    <row r="17" spans="1:20" x14ac:dyDescent="0.25">
      <c r="A17" s="127"/>
      <c r="B17" s="128"/>
      <c r="C17" s="106">
        <f>SUM(C5:C16)</f>
        <v>0</v>
      </c>
      <c r="D17" s="106">
        <f t="shared" ref="D17:M17" si="2">SUM(D5:D16)</f>
        <v>0</v>
      </c>
      <c r="E17" s="106">
        <f t="shared" si="2"/>
        <v>0</v>
      </c>
      <c r="F17" s="106">
        <f t="shared" si="2"/>
        <v>0</v>
      </c>
      <c r="G17" s="106">
        <f t="shared" si="2"/>
        <v>0</v>
      </c>
      <c r="H17" s="106">
        <f t="shared" si="2"/>
        <v>0</v>
      </c>
      <c r="I17" s="106">
        <f t="shared" si="2"/>
        <v>0</v>
      </c>
      <c r="J17" s="106">
        <f t="shared" si="2"/>
        <v>0</v>
      </c>
      <c r="K17" s="106">
        <f t="shared" si="2"/>
        <v>0</v>
      </c>
      <c r="L17" s="106">
        <f t="shared" si="2"/>
        <v>0</v>
      </c>
      <c r="M17" s="106">
        <f t="shared" si="2"/>
        <v>0</v>
      </c>
      <c r="N17" s="138">
        <f>SUM(N5:N16)</f>
        <v>0</v>
      </c>
      <c r="O17" s="142" t="s">
        <v>56</v>
      </c>
      <c r="P17" s="113">
        <f>SUM(P5:P16)</f>
        <v>0</v>
      </c>
      <c r="S17" s="22" t="s">
        <v>65</v>
      </c>
      <c r="T17" s="74" t="s">
        <v>26</v>
      </c>
    </row>
    <row r="18" spans="1:20" ht="15.75" thickBot="1" x14ac:dyDescent="0.3">
      <c r="A18" s="129"/>
      <c r="B18" s="130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39"/>
      <c r="O18" s="142"/>
      <c r="P18" s="131"/>
      <c r="S18" s="20"/>
      <c r="T18" s="24">
        <f>SUM(S18*103%*1.9/1000)</f>
        <v>0</v>
      </c>
    </row>
    <row r="19" spans="1:20" ht="15.75" thickBot="1" x14ac:dyDescent="0.3">
      <c r="S19" s="20"/>
      <c r="T19" s="24">
        <f>SUM(S19*103%*1.9/1000)</f>
        <v>0</v>
      </c>
    </row>
    <row r="20" spans="1:20" ht="15.75" thickBot="1" x14ac:dyDescent="0.3">
      <c r="F20" s="107" t="s">
        <v>83</v>
      </c>
      <c r="G20" s="108"/>
      <c r="H20" s="109"/>
      <c r="S20" s="78"/>
      <c r="T20" s="76"/>
    </row>
    <row r="21" spans="1:20" ht="15.75" thickBot="1" x14ac:dyDescent="0.3">
      <c r="F21" s="110"/>
      <c r="G21" s="111"/>
      <c r="H21" s="112"/>
    </row>
    <row r="22" spans="1:20" ht="15.75" thickBot="1" x14ac:dyDescent="0.3">
      <c r="A22" s="123" t="s">
        <v>16</v>
      </c>
      <c r="B22" s="123"/>
      <c r="C22" s="6" t="s">
        <v>0</v>
      </c>
      <c r="D22" s="102"/>
      <c r="E22" s="103"/>
      <c r="F22" s="103"/>
      <c r="G22" s="103"/>
      <c r="H22" s="103"/>
      <c r="I22" s="103"/>
      <c r="J22" s="103"/>
      <c r="K22" s="103"/>
      <c r="L22" s="105"/>
      <c r="M22" s="3"/>
      <c r="N22" s="2" t="s">
        <v>1</v>
      </c>
      <c r="O22" s="46"/>
    </row>
    <row r="23" spans="1:20" x14ac:dyDescent="0.25">
      <c r="A23" s="123"/>
      <c r="B23" s="123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1" t="s">
        <v>2</v>
      </c>
      <c r="N23" s="2" t="s">
        <v>3</v>
      </c>
      <c r="O23" s="50" t="s">
        <v>55</v>
      </c>
      <c r="P23" s="51" t="s">
        <v>53</v>
      </c>
      <c r="S23" s="62" t="s">
        <v>73</v>
      </c>
      <c r="T23" s="63" t="s">
        <v>26</v>
      </c>
    </row>
    <row r="24" spans="1:20" x14ac:dyDescent="0.25">
      <c r="A24" s="125" t="s">
        <v>86</v>
      </c>
      <c r="B24" s="126"/>
      <c r="C24" s="7"/>
      <c r="D24" s="7"/>
      <c r="E24" s="7"/>
      <c r="F24" s="7"/>
      <c r="G24" s="7"/>
      <c r="H24" s="7"/>
      <c r="I24" s="7"/>
      <c r="J24" s="7"/>
      <c r="K24" s="7"/>
      <c r="L24" s="7"/>
      <c r="M24" s="5">
        <f>SUM(C24:L24)</f>
        <v>0</v>
      </c>
      <c r="N24" s="8">
        <f>SUM((C23+2.4)*C24/39.37+(D23+2.4)*D24/39.37+(E23+2.4)*E24/39.37+(F23+2.4)*F24/39.37+(G23+2.4)*G24/39.37+(H23+2.4)*H24/39.37+(I23+2.4)*I24/39.37+(J23+2.4)*J24/39.37+(K23+2.4)*K24/39.37+(L23+2.4)*L24/39.37)</f>
        <v>0</v>
      </c>
      <c r="O24" s="47"/>
      <c r="P24" s="55">
        <f>SUM((N24*O24)%+N24)/57</f>
        <v>0</v>
      </c>
      <c r="S24" s="23" t="s">
        <v>74</v>
      </c>
      <c r="T24" s="84"/>
    </row>
    <row r="25" spans="1:20" x14ac:dyDescent="0.25">
      <c r="A25" s="127"/>
      <c r="B25" s="128"/>
      <c r="C25" s="7"/>
      <c r="D25" s="7"/>
      <c r="E25" s="7"/>
      <c r="F25" s="7"/>
      <c r="G25" s="7"/>
      <c r="H25" s="7"/>
      <c r="I25" s="7"/>
      <c r="J25" s="7"/>
      <c r="K25" s="7"/>
      <c r="L25" s="7"/>
      <c r="M25" s="5">
        <f t="shared" ref="M25:M35" si="3">SUM(C25:L25)</f>
        <v>0</v>
      </c>
      <c r="N25" s="8">
        <f>SUM((C23+2.4)*C25/39.37+(D23+2.4)*D25/39.37+(E23+2.4)*E25/39.37+(F23+2.4)*F25/39.37+(G23+2.4)*G25/39.37+(H23+2.4)*H25/39.37+(I23+2.4)*I25/39.37+(J23+2.4)*J25/39.37+(K23+2.4)*K25/39.37+(L23+2.4)*L25/39.37)</f>
        <v>0</v>
      </c>
      <c r="O25" s="47"/>
      <c r="P25" s="55">
        <f t="shared" ref="P25:P35" si="4">SUM((N25*O25)%+N25)/57</f>
        <v>0</v>
      </c>
      <c r="Q25" s="137" t="s">
        <v>84</v>
      </c>
      <c r="R25" s="137"/>
      <c r="S25" s="23" t="s">
        <v>65</v>
      </c>
      <c r="T25" s="74"/>
    </row>
    <row r="26" spans="1:20" x14ac:dyDescent="0.25">
      <c r="A26" s="127"/>
      <c r="B26" s="128"/>
      <c r="C26" s="7"/>
      <c r="D26" s="7"/>
      <c r="E26" s="7"/>
      <c r="F26" s="7"/>
      <c r="G26" s="7"/>
      <c r="H26" s="7"/>
      <c r="I26" s="7"/>
      <c r="J26" s="7"/>
      <c r="K26" s="7"/>
      <c r="L26" s="7"/>
      <c r="M26" s="5">
        <f t="shared" si="3"/>
        <v>0</v>
      </c>
      <c r="N26" s="8">
        <f>SUM((C23+2.4)*C26/39.37+(D23+2.4)*D26/39.37+(E23+2.4)*E26/39.37+(F23+2.4)*F26/39.37+(G23+2.4)*G26/39.37+(H23+2.4)*H26/39.37+(I23+2.4)*I26/39.37+(J23+2.4)*J26/39.37+(K23+2.4)*K26/39.37+(L23+2.4)*L26/39.37)</f>
        <v>0</v>
      </c>
      <c r="O26" s="47"/>
      <c r="P26" s="55">
        <f t="shared" si="4"/>
        <v>0</v>
      </c>
      <c r="Q26" s="137"/>
      <c r="R26" s="137"/>
      <c r="S26" s="23" t="s">
        <v>75</v>
      </c>
      <c r="T26" s="74"/>
    </row>
    <row r="27" spans="1:20" x14ac:dyDescent="0.25">
      <c r="A27" s="127"/>
      <c r="B27" s="128"/>
      <c r="C27" s="7"/>
      <c r="D27" s="7"/>
      <c r="E27" s="7"/>
      <c r="F27" s="7"/>
      <c r="G27" s="7"/>
      <c r="H27" s="7"/>
      <c r="I27" s="7"/>
      <c r="J27" s="7"/>
      <c r="K27" s="7"/>
      <c r="L27" s="7"/>
      <c r="M27" s="5">
        <f t="shared" si="3"/>
        <v>0</v>
      </c>
      <c r="N27" s="8">
        <f>SUM((C23+2.4)*C27/39.37+(D23+2.4)*D27/39.37+(E23+2.4)*E27/39.37+(F23+2.4)*F27/39.37+(G23+2.4)*G27/39.37+(H23+2.4)*H27/39.37+(I23+2.4)*I27/39.37+(J23+2.4)*J27/39.37+(K23+2.4)*K27/39.37+(L23+2.4)*L27/39.37)</f>
        <v>0</v>
      </c>
      <c r="O27" s="47"/>
      <c r="P27" s="55">
        <f t="shared" si="4"/>
        <v>0</v>
      </c>
      <c r="Q27" s="137"/>
      <c r="R27" s="137"/>
      <c r="S27" s="23" t="s">
        <v>76</v>
      </c>
      <c r="T27" s="74"/>
    </row>
    <row r="28" spans="1:20" ht="15.75" thickBot="1" x14ac:dyDescent="0.3">
      <c r="A28" s="127"/>
      <c r="B28" s="128"/>
      <c r="C28" s="7"/>
      <c r="D28" s="7"/>
      <c r="E28" s="7"/>
      <c r="F28" s="7"/>
      <c r="G28" s="7"/>
      <c r="H28" s="7"/>
      <c r="I28" s="7"/>
      <c r="J28" s="7"/>
      <c r="K28" s="7"/>
      <c r="L28" s="7"/>
      <c r="M28" s="5">
        <f t="shared" si="3"/>
        <v>0</v>
      </c>
      <c r="N28" s="8">
        <f>SUM((C23+2.4)*C28/39.37+(D23+2.4)*D28/39.37+(E23+2.4)*E28/39.37+(F23+2.4)*F28/39.37+(G23+2.4)*G28/39.37+(H23+2.4)*H28/39.37+(I23+2.4)*I28/39.37+(J23+2.4)*J28/39.37+(K23+2.4)*K28/39.37+(L23+2.4)*L28/39.37)</f>
        <v>0</v>
      </c>
      <c r="O28" s="47"/>
      <c r="P28" s="55">
        <f t="shared" si="4"/>
        <v>0</v>
      </c>
      <c r="Q28" s="137"/>
      <c r="R28" s="137"/>
      <c r="S28" s="81" t="s">
        <v>28</v>
      </c>
      <c r="T28" s="82">
        <f t="shared" ref="T28" si="5">SUM(T24:T27)</f>
        <v>0</v>
      </c>
    </row>
    <row r="29" spans="1:20" x14ac:dyDescent="0.25">
      <c r="A29" s="127"/>
      <c r="B29" s="128"/>
      <c r="C29" s="7"/>
      <c r="D29" s="7"/>
      <c r="E29" s="7"/>
      <c r="F29" s="7"/>
      <c r="G29" s="7"/>
      <c r="H29" s="7"/>
      <c r="I29" s="7"/>
      <c r="J29" s="7"/>
      <c r="K29" s="7"/>
      <c r="L29" s="7"/>
      <c r="M29" s="5">
        <f t="shared" si="3"/>
        <v>0</v>
      </c>
      <c r="N29" s="8">
        <f>SUM((C23+2.4)*C29/39.37+(D23+2.4)*D29/39.37+(E23+2.4)*E29/39.37+(F23+2.4)*F29/39.37+(G23+2.4)*G29/39.37+(H23+2.4)*H29/39.37+(I23+2.4)*I29/39.37+(J23+2.4)*J29/39.37+(K23+2.4)*K29/39.37+(L23+2.4)*L29/39.37)</f>
        <v>0</v>
      </c>
      <c r="O29" s="47"/>
      <c r="P29" s="55">
        <f t="shared" si="4"/>
        <v>0</v>
      </c>
      <c r="Q29" s="137"/>
      <c r="R29" s="137"/>
    </row>
    <row r="30" spans="1:20" x14ac:dyDescent="0.25">
      <c r="A30" s="127"/>
      <c r="B30" s="128"/>
      <c r="C30" s="7"/>
      <c r="D30" s="7"/>
      <c r="E30" s="7"/>
      <c r="F30" s="7"/>
      <c r="G30" s="7"/>
      <c r="H30" s="7"/>
      <c r="I30" s="7"/>
      <c r="J30" s="7"/>
      <c r="K30" s="7"/>
      <c r="L30" s="7"/>
      <c r="M30" s="5">
        <f t="shared" si="3"/>
        <v>0</v>
      </c>
      <c r="N30" s="8">
        <f>SUM((C23+2.4)*C30/39.37+(D23+2.4)*D30/39.37+(E23+2.4)*E30/39.37+(F23+2.4)*F30/39.37+(G23+2.4)*G30/39.37+(H23+2.4)*H30/39.37+(I23+2.4)*I30/39.37+(J23+2.4)*J30/39.37+(K23+2.4)*K30/39.37+(L23+2.4)*L30/39.37)</f>
        <v>0</v>
      </c>
      <c r="O30" s="47"/>
      <c r="P30" s="55">
        <f t="shared" si="4"/>
        <v>0</v>
      </c>
    </row>
    <row r="31" spans="1:20" x14ac:dyDescent="0.25">
      <c r="A31" s="127"/>
      <c r="B31" s="128"/>
      <c r="C31" s="7"/>
      <c r="D31" s="7"/>
      <c r="E31" s="7"/>
      <c r="F31" s="7"/>
      <c r="G31" s="7"/>
      <c r="H31" s="7"/>
      <c r="I31" s="7"/>
      <c r="J31" s="7"/>
      <c r="K31" s="7"/>
      <c r="L31" s="7"/>
      <c r="M31" s="5">
        <f t="shared" si="3"/>
        <v>0</v>
      </c>
      <c r="N31" s="8">
        <f>SUM((C23+2.4)*C31/39.37+(D23+2.4)*D31/39.37+(E23+2.4)*E31/39.37+(F23+2.4)*F31/39.37+(G23+2.4)*G31/39.37+(H23+2.4)*H31/39.37+(I23+2.4)*I31/39.37+(J23+2.4)*J31/39.37+(K23+2.4)*K31/39.37+(L23+2.4)*L31/39.37)</f>
        <v>0</v>
      </c>
      <c r="O31" s="47"/>
      <c r="P31" s="55">
        <f t="shared" si="4"/>
        <v>0</v>
      </c>
    </row>
    <row r="32" spans="1:20" x14ac:dyDescent="0.25">
      <c r="A32" s="127"/>
      <c r="B32" s="128"/>
      <c r="C32" s="7"/>
      <c r="D32" s="7"/>
      <c r="E32" s="7"/>
      <c r="F32" s="7"/>
      <c r="G32" s="7"/>
      <c r="H32" s="7"/>
      <c r="I32" s="7"/>
      <c r="J32" s="7"/>
      <c r="K32" s="7"/>
      <c r="L32" s="7"/>
      <c r="M32" s="5">
        <f t="shared" si="3"/>
        <v>0</v>
      </c>
      <c r="N32" s="8">
        <f>SUM((C23+2.4)*C32/39.37+(D23+2.4)*D32/39.37+(E23+2.4)*E32/39.37+(F23+2.4)*F32/39.37+(G23+2.4)*G32/39.37+(H23+2.4)*H32/39.37+(I23+2.4)*I32/39.37+(J23+2.4)*J32/39.37+(K23+2.4)*K32/39.37+(L23+2.4)*L32/39.37)</f>
        <v>0</v>
      </c>
      <c r="O32" s="47"/>
      <c r="P32" s="55">
        <f t="shared" si="4"/>
        <v>0</v>
      </c>
    </row>
    <row r="33" spans="1:16" x14ac:dyDescent="0.25">
      <c r="A33" s="127"/>
      <c r="B33" s="128"/>
      <c r="C33" s="7"/>
      <c r="D33" s="7"/>
      <c r="E33" s="7"/>
      <c r="F33" s="7"/>
      <c r="G33" s="7"/>
      <c r="H33" s="7"/>
      <c r="I33" s="7"/>
      <c r="J33" s="7"/>
      <c r="K33" s="7"/>
      <c r="L33" s="7"/>
      <c r="M33" s="5">
        <f t="shared" si="3"/>
        <v>0</v>
      </c>
      <c r="N33" s="8">
        <f>SUM((C23+2.4)*C33/39.37+(D23+2.4)*D33/39.37+(E23+2.4)*E33/39.37+(F23+2.4)*F33/39.37+(G23+2.4)*G33/39.37+(H23+2.4)*H33/39.37+(I23+2.4)*I33/39.37+(J23+2.4)*J33/39.37+(K23+2.4)*K33/39.37+(L23+2.4)*L33/39.37)</f>
        <v>0</v>
      </c>
      <c r="O33" s="47"/>
      <c r="P33" s="55">
        <f t="shared" si="4"/>
        <v>0</v>
      </c>
    </row>
    <row r="34" spans="1:16" x14ac:dyDescent="0.25">
      <c r="A34" s="127"/>
      <c r="B34" s="128"/>
      <c r="C34" s="7"/>
      <c r="D34" s="7"/>
      <c r="E34" s="7"/>
      <c r="F34" s="7"/>
      <c r="G34" s="7"/>
      <c r="H34" s="7"/>
      <c r="I34" s="7"/>
      <c r="J34" s="7"/>
      <c r="K34" s="7"/>
      <c r="L34" s="7"/>
      <c r="M34" s="5">
        <f t="shared" si="3"/>
        <v>0</v>
      </c>
      <c r="N34" s="8">
        <f>SUM((C23+2.4)*C34/39.37+(D23+2.4)*D34/39.37+(E23+2.4)*E34/39.37+(F23+2.4)*F34/39.37+(G23+2.4)*G34/39.37+(H23+2.4)*H34/39.37+(I23+2.4)*I34/39.37+(J23+2.4)*J34/39.37+(K23+2.4)*K34/39.37+(L23+2.4)*L34/39.37)</f>
        <v>0</v>
      </c>
      <c r="O34" s="47"/>
      <c r="P34" s="55">
        <f t="shared" si="4"/>
        <v>0</v>
      </c>
    </row>
    <row r="35" spans="1:16" ht="15.75" thickBot="1" x14ac:dyDescent="0.3">
      <c r="A35" s="127"/>
      <c r="B35" s="128"/>
      <c r="C35" s="7"/>
      <c r="D35" s="7"/>
      <c r="E35" s="7"/>
      <c r="F35" s="7"/>
      <c r="G35" s="7"/>
      <c r="H35" s="7"/>
      <c r="I35" s="7"/>
      <c r="J35" s="7"/>
      <c r="K35" s="7"/>
      <c r="L35" s="7"/>
      <c r="M35" s="5">
        <f t="shared" si="3"/>
        <v>0</v>
      </c>
      <c r="N35" s="8">
        <f>SUM((C23+2.4)*C35/39.37+(D23+2.4)*D35/39.37+(E23+2.4)*E35/39.37+(F23+2.4)*F35/39.37+(G23+2.4)*G35/39.37+(H23+2.4)*H35/39.37+(I23+2.4)*I35/39.37+(J23+2.4)*J35/39.37+(K23+2.4)*K35/39.37+(L23+2.4)*L35/39.37)</f>
        <v>0</v>
      </c>
      <c r="O35" s="47"/>
      <c r="P35" s="55">
        <f t="shared" si="4"/>
        <v>0</v>
      </c>
    </row>
    <row r="36" spans="1:16" x14ac:dyDescent="0.25">
      <c r="A36" s="127"/>
      <c r="B36" s="128"/>
      <c r="C36" s="106">
        <f>SUM(C24:C35)</f>
        <v>0</v>
      </c>
      <c r="D36" s="106">
        <f t="shared" ref="D36:M36" si="6">SUM(D24:D35)</f>
        <v>0</v>
      </c>
      <c r="E36" s="106">
        <f t="shared" si="6"/>
        <v>0</v>
      </c>
      <c r="F36" s="106">
        <f t="shared" si="6"/>
        <v>0</v>
      </c>
      <c r="G36" s="106">
        <f t="shared" si="6"/>
        <v>0</v>
      </c>
      <c r="H36" s="106">
        <f t="shared" si="6"/>
        <v>0</v>
      </c>
      <c r="I36" s="106">
        <f t="shared" si="6"/>
        <v>0</v>
      </c>
      <c r="J36" s="106">
        <f t="shared" si="6"/>
        <v>0</v>
      </c>
      <c r="K36" s="106">
        <f t="shared" si="6"/>
        <v>0</v>
      </c>
      <c r="L36" s="106">
        <f t="shared" si="6"/>
        <v>0</v>
      </c>
      <c r="M36" s="106">
        <f t="shared" si="6"/>
        <v>0</v>
      </c>
      <c r="N36" s="138">
        <f>SUM(N24:N35)</f>
        <v>0</v>
      </c>
      <c r="O36" s="142" t="s">
        <v>56</v>
      </c>
      <c r="P36" s="113">
        <f>SUM(P24:P35)</f>
        <v>0</v>
      </c>
    </row>
    <row r="37" spans="1:16" ht="15.75" thickBot="1" x14ac:dyDescent="0.3">
      <c r="A37" s="129"/>
      <c r="B37" s="130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39"/>
      <c r="O37" s="142"/>
      <c r="P37" s="131"/>
    </row>
  </sheetData>
  <mergeCells count="41">
    <mergeCell ref="Q25:R29"/>
    <mergeCell ref="C36:C37"/>
    <mergeCell ref="D36:D37"/>
    <mergeCell ref="E36:E37"/>
    <mergeCell ref="F36:F37"/>
    <mergeCell ref="G36:G37"/>
    <mergeCell ref="N36:N37"/>
    <mergeCell ref="O36:O37"/>
    <mergeCell ref="P36:P37"/>
    <mergeCell ref="H36:H37"/>
    <mergeCell ref="I36:I37"/>
    <mergeCell ref="J36:J37"/>
    <mergeCell ref="K36:K37"/>
    <mergeCell ref="L36:L37"/>
    <mergeCell ref="M36:M37"/>
    <mergeCell ref="O17:O18"/>
    <mergeCell ref="F20:H21"/>
    <mergeCell ref="A22:B23"/>
    <mergeCell ref="D22:L22"/>
    <mergeCell ref="A24:B37"/>
    <mergeCell ref="J17:J18"/>
    <mergeCell ref="K17:K18"/>
    <mergeCell ref="L17:L18"/>
    <mergeCell ref="M17:M18"/>
    <mergeCell ref="N17:N18"/>
    <mergeCell ref="F1:H2"/>
    <mergeCell ref="A3:B4"/>
    <mergeCell ref="D3:L3"/>
    <mergeCell ref="S3:T3"/>
    <mergeCell ref="A5:B18"/>
    <mergeCell ref="Q6:R10"/>
    <mergeCell ref="S10:T10"/>
    <mergeCell ref="S16:T16"/>
    <mergeCell ref="C17:C18"/>
    <mergeCell ref="D17:D18"/>
    <mergeCell ref="P17:P18"/>
    <mergeCell ref="E17:E18"/>
    <mergeCell ref="F17:F18"/>
    <mergeCell ref="G17:G18"/>
    <mergeCell ref="H17:H18"/>
    <mergeCell ref="I17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CZ#3</vt:lpstr>
      <vt:lpstr>CZ#5</vt:lpstr>
      <vt:lpstr>PZ#3</vt:lpstr>
      <vt:lpstr>PZ#5</vt:lpstr>
      <vt:lpstr>MZ#3</vt:lpstr>
      <vt:lpstr>WIRE#3</vt:lpstr>
      <vt:lpstr>MZ#5</vt:lpstr>
      <vt:lpstr>WIRE#5 NORMAL TEETH</vt:lpstr>
      <vt:lpstr>WIRE#5 LONG TEETH</vt:lpstr>
      <vt:lpstr>PZ#8</vt:lpstr>
    </vt:vector>
  </TitlesOfParts>
  <Company>NEO Zipper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A.M. Ashiqul Haque</dc:creator>
  <cp:lastModifiedBy>LIAQUAT</cp:lastModifiedBy>
  <dcterms:created xsi:type="dcterms:W3CDTF">2013-06-26T04:10:19Z</dcterms:created>
  <dcterms:modified xsi:type="dcterms:W3CDTF">2023-09-17T05:25:12Z</dcterms:modified>
</cp:coreProperties>
</file>